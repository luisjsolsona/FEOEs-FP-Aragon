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resas" sheetId="1" state="visible" r:id="rId3"/>
    <sheet name="Resumen" sheetId="2" state="visible" r:id="rId4"/>
  </sheets>
  <definedNames>
    <definedName function="false" hidden="true" localSheetId="0" name="_xlnm._FilterDatabase" vbProcedure="false">Empresas!$A$1:$N$97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<sst xmlns="http://schemas.openxmlformats.org/spreadsheetml/2006/main" count="818" uniqueCount="437">
  <si>
    <t xml:space="preserve">#</t>
  </si>
  <si>
    <t xml:space="preserve">Empresa</t>
  </si>
  <si>
    <t xml:space="preserve">Categoría</t>
  </si>
  <si>
    <t xml:space="preserve">Perfil ciclo</t>
  </si>
  <si>
    <t xml:space="preserve">Dirección (Zaragoza)</t>
  </si>
  <si>
    <t xml:space="preserve">Teléfono</t>
  </si>
  <si>
    <t xml:space="preserve">Web</t>
  </si>
  <si>
    <t xml:space="preserve">Prioridad</t>
  </si>
  <si>
    <t xml:space="preserve">Notas</t>
  </si>
  <si>
    <t xml:space="preserve">Estado convenio</t>
  </si>
  <si>
    <t xml:space="preserve">Tutor/a dual responsable</t>
  </si>
  <si>
    <t xml:space="preserve">Persona de contacto</t>
  </si>
  <si>
    <t xml:space="preserve">Fecha contacto</t>
  </si>
  <si>
    <t xml:space="preserve">Resultado / seguimiento</t>
  </si>
  <si>
    <t xml:space="preserve">Aratecnia Sistemas y Servicios</t>
  </si>
  <si>
    <t xml:space="preserve">Soporte IT empresas</t>
  </si>
  <si>
    <t xml:space="preserve">SMR/ASIR</t>
  </si>
  <si>
    <t xml:space="preserve">C. Pedro Villacampa 48, 50015</t>
  </si>
  <si>
    <t xml:space="preserve">976 52 45 84</t>
  </si>
  <si>
    <t xml:space="preserve">aratecnia.es</t>
  </si>
  <si>
    <t xml:space="preserve">Alta</t>
  </si>
  <si>
    <t xml:space="preserve">Mantenimiento IT pymes</t>
  </si>
  <si>
    <t xml:space="preserve">Sin contactar</t>
  </si>
  <si>
    <t xml:space="preserve">Goya Soluciones Informáticas</t>
  </si>
  <si>
    <t xml:space="preserve">Av. Puente del Pilar 37, 50014</t>
  </si>
  <si>
    <t xml:space="preserve">976 30 28 58</t>
  </si>
  <si>
    <t xml:space="preserve">goyasoluciones.com</t>
  </si>
  <si>
    <t xml:space="preserve">Informática Ingenia</t>
  </si>
  <si>
    <t xml:space="preserve">SMR</t>
  </si>
  <si>
    <t xml:space="preserve">Camino de las Torres 4, 50002</t>
  </si>
  <si>
    <t xml:space="preserve">976 31 74 12</t>
  </si>
  <si>
    <t xml:space="preserve">ingenia-aragon.es</t>
  </si>
  <si>
    <t xml:space="preserve">Soporte hw/sw</t>
  </si>
  <si>
    <t xml:space="preserve">OnSAT Servicios Informáticos</t>
  </si>
  <si>
    <t xml:space="preserve">C. El Acorazado Potemkin 3, 50019</t>
  </si>
  <si>
    <t xml:space="preserve">976 79 20 41</t>
  </si>
  <si>
    <t xml:space="preserve">onsat.es</t>
  </si>
  <si>
    <t xml:space="preserve">SAT + consultoría</t>
  </si>
  <si>
    <t xml:space="preserve">Albada Servicios Informáticos</t>
  </si>
  <si>
    <t xml:space="preserve">C. Miguel de Cervantes 24, 50006</t>
  </si>
  <si>
    <t xml:space="preserve">976 46 83 38</t>
  </si>
  <si>
    <t xml:space="preserve">albada.es</t>
  </si>
  <si>
    <t xml:space="preserve">Tempus Informática</t>
  </si>
  <si>
    <t xml:space="preserve">C. Reina Fabiola 37, of. 124, 50008</t>
  </si>
  <si>
    <t xml:space="preserve">976 59 16 07</t>
  </si>
  <si>
    <t xml:space="preserve">tempus.es</t>
  </si>
  <si>
    <t xml:space="preserve">Carrie Servicios Informáticos</t>
  </si>
  <si>
    <t xml:space="preserve">C. Lastanosa 30, 50010</t>
  </si>
  <si>
    <t xml:space="preserve">976 30 02 48</t>
  </si>
  <si>
    <t xml:space="preserve">carrieserviciosinformaticos.es</t>
  </si>
  <si>
    <t xml:space="preserve">Media</t>
  </si>
  <si>
    <t xml:space="preserve">MEGASTAR</t>
  </si>
  <si>
    <t xml:space="preserve">Andador Paula Montal Fornés 4, 50018</t>
  </si>
  <si>
    <t xml:space="preserve">976 46 66 44</t>
  </si>
  <si>
    <t xml:space="preserve">megastar.es</t>
  </si>
  <si>
    <t xml:space="preserve">Particulares y empresas</t>
  </si>
  <si>
    <t xml:space="preserve">Informática Miranda Digital (Sage)</t>
  </si>
  <si>
    <t xml:space="preserve">SMR/DAW</t>
  </si>
  <si>
    <t xml:space="preserve">976 56 99 30</t>
  </si>
  <si>
    <t xml:space="preserve">imdigital.es</t>
  </si>
  <si>
    <t xml:space="preserve">Partner Sage + web</t>
  </si>
  <si>
    <t xml:space="preserve">iDoo Tech</t>
  </si>
  <si>
    <t xml:space="preserve">Av. Gómez Laguna 25, pl. 5, 50009</t>
  </si>
  <si>
    <t xml:space="preserve">976 91 01 30</t>
  </si>
  <si>
    <t xml:space="preserve">idootech.com</t>
  </si>
  <si>
    <t xml:space="preserve">Apple / pymes</t>
  </si>
  <si>
    <t xml:space="preserve">SolucionesDS</t>
  </si>
  <si>
    <t xml:space="preserve">C. Martín Carrillo 5, 50001</t>
  </si>
  <si>
    <t xml:space="preserve">976 46 80 69</t>
  </si>
  <si>
    <t xml:space="preserve">solucionesds.es</t>
  </si>
  <si>
    <t xml:space="preserve">Partner Lenovo</t>
  </si>
  <si>
    <t xml:space="preserve">Pernía Informática</t>
  </si>
  <si>
    <t xml:space="preserve">C. Dr. Iranzo 90, 50002</t>
  </si>
  <si>
    <t xml:space="preserve">976 13 37 91</t>
  </si>
  <si>
    <t xml:space="preserve">perniasistemas.com</t>
  </si>
  <si>
    <t xml:space="preserve">Tienda + consultoría</t>
  </si>
  <si>
    <t xml:space="preserve">Acosis</t>
  </si>
  <si>
    <t xml:space="preserve">C. José Mª Lacarra de Miguel 40, 50008</t>
  </si>
  <si>
    <t xml:space="preserve">976 30 24 10</t>
  </si>
  <si>
    <t xml:space="preserve">Aragonesa de Tecnología</t>
  </si>
  <si>
    <t xml:space="preserve">Av. Valencia 28, pl. 6 of. 1, 50005</t>
  </si>
  <si>
    <t xml:space="preserve">976 42 93 73</t>
  </si>
  <si>
    <t xml:space="preserve">Atlas Proyectos Informáticos</t>
  </si>
  <si>
    <t xml:space="preserve">Av. Cesáreo Alierta 23-25, of. 113-114, 50008</t>
  </si>
  <si>
    <t xml:space="preserve">976 59 08 45</t>
  </si>
  <si>
    <t xml:space="preserve">SAP Business One + soporte</t>
  </si>
  <si>
    <t xml:space="preserve">ZILON Informática para empresas</t>
  </si>
  <si>
    <t xml:space="preserve">C. Añón 18, 50002</t>
  </si>
  <si>
    <t xml:space="preserve">633 32 44 00</t>
  </si>
  <si>
    <t xml:space="preserve">Infoelite</t>
  </si>
  <si>
    <t xml:space="preserve">C. Adolfo Aznar 28, 50018</t>
  </si>
  <si>
    <t xml:space="preserve">976 74 21 43</t>
  </si>
  <si>
    <t xml:space="preserve">Visualcom Soluciones Informáticas</t>
  </si>
  <si>
    <t xml:space="preserve">C. Felisa Galé 1, 50014</t>
  </si>
  <si>
    <t xml:space="preserve">976 25 90 99</t>
  </si>
  <si>
    <t xml:space="preserve">Mismo grupo que Ahora Express / Zierzo</t>
  </si>
  <si>
    <t xml:space="preserve">ACCIONET</t>
  </si>
  <si>
    <t xml:space="preserve">C. Francisco Rallo Lahoz 29, 1ºD, 50011</t>
  </si>
  <si>
    <t xml:space="preserve">976 37 39 73</t>
  </si>
  <si>
    <t xml:space="preserve">Servicios TIC</t>
  </si>
  <si>
    <t xml:space="preserve">eMenntun</t>
  </si>
  <si>
    <t xml:space="preserve">C. Coso 102, entlo. of. 4, 50001</t>
  </si>
  <si>
    <t xml:space="preserve">646 81 07 61</t>
  </si>
  <si>
    <t xml:space="preserve">Baja</t>
  </si>
  <si>
    <t xml:space="preserve">Unipersonal, formación</t>
  </si>
  <si>
    <t xml:space="preserve">Planea Soluciones</t>
  </si>
  <si>
    <t xml:space="preserve">C. San Agustín 8, 50002</t>
  </si>
  <si>
    <t xml:space="preserve">876 66 10 10</t>
  </si>
  <si>
    <t xml:space="preserve">Web + email + soporte</t>
  </si>
  <si>
    <t xml:space="preserve">Arona Systems</t>
  </si>
  <si>
    <t xml:space="preserve">Redes y telecomunicaciones</t>
  </si>
  <si>
    <t xml:space="preserve">C. Ntra. Sra. de Covadonga 18-20, 50017</t>
  </si>
  <si>
    <t xml:space="preserve">976 39 41 55</t>
  </si>
  <si>
    <t xml:space="preserve">aronasystems.com</t>
  </si>
  <si>
    <t xml:space="preserve">Cableado estructurado</t>
  </si>
  <si>
    <t xml:space="preserve">Sincronet Security &amp; Networking</t>
  </si>
  <si>
    <t xml:space="preserve">Redes y ciberseguridad</t>
  </si>
  <si>
    <t xml:space="preserve">C. Ibón de Estanés 10, 50011</t>
  </si>
  <si>
    <t xml:space="preserve">976 46 76 21</t>
  </si>
  <si>
    <t xml:space="preserve">sincronet.es</t>
  </si>
  <si>
    <t xml:space="preserve">ZADITEL</t>
  </si>
  <si>
    <t xml:space="preserve">C. José Donoso 13, 50018</t>
  </si>
  <si>
    <t xml:space="preserve">976 79 99 99</t>
  </si>
  <si>
    <t xml:space="preserve">zaditel.com</t>
  </si>
  <si>
    <t xml:space="preserve">Balui Digital</t>
  </si>
  <si>
    <t xml:space="preserve">C. Miquel Roca i Junyent 7, pl. 2, 50011</t>
  </si>
  <si>
    <t xml:space="preserve">976 36 23 23</t>
  </si>
  <si>
    <t xml:space="preserve">baluidigital.es</t>
  </si>
  <si>
    <t xml:space="preserve">Ciberseguridad, web, TPV</t>
  </si>
  <si>
    <t xml:space="preserve">Ciberseguridad Gobernada (Cibergob)</t>
  </si>
  <si>
    <t xml:space="preserve">ASIR</t>
  </si>
  <si>
    <t xml:space="preserve">Ed. Náyade, C. Bari 55, of. 211, PLAZA 50197</t>
  </si>
  <si>
    <t xml:space="preserve">876 64 66 15</t>
  </si>
  <si>
    <t xml:space="preserve">cibergob.es</t>
  </si>
  <si>
    <t xml:space="preserve">Zierzo Telecom</t>
  </si>
  <si>
    <t xml:space="preserve">876 66 11 50</t>
  </si>
  <si>
    <t xml:space="preserve">Operador local</t>
  </si>
  <si>
    <t xml:space="preserve">Grupo Soastel</t>
  </si>
  <si>
    <t xml:space="preserve">Pol. Malpica, C. F parc. 57 nave 20, 50016</t>
  </si>
  <si>
    <t xml:space="preserve">976 79 91 91</t>
  </si>
  <si>
    <t xml:space="preserve">Embou (MásMóvil)</t>
  </si>
  <si>
    <t xml:space="preserve">Av. Juan Pablo II 35, 50009</t>
  </si>
  <si>
    <t xml:space="preserve">622 48 42 19</t>
  </si>
  <si>
    <t xml:space="preserve">embou.com</t>
  </si>
  <si>
    <t xml:space="preserve">Operador aragonés, sede corporativa</t>
  </si>
  <si>
    <t xml:space="preserve">La Casa de la Fibra</t>
  </si>
  <si>
    <t xml:space="preserve">C. Compromiso de Caspe 107, 50002</t>
  </si>
  <si>
    <t xml:space="preserve">876 03 02 00</t>
  </si>
  <si>
    <t xml:space="preserve">Finetwork Zaragoza Goya</t>
  </si>
  <si>
    <t xml:space="preserve">Av. Goya 96, 50005</t>
  </si>
  <si>
    <t xml:space="preserve">876 01 57 66</t>
  </si>
  <si>
    <t xml:space="preserve">Tienda operador</t>
  </si>
  <si>
    <t xml:space="preserve">Libelium</t>
  </si>
  <si>
    <t xml:space="preserve">ASIR/DAM</t>
  </si>
  <si>
    <t xml:space="preserve">C. María Zambrano 31, torre este pl. 7, 50018</t>
  </si>
  <si>
    <t xml:space="preserve">976 54 74 92</t>
  </si>
  <si>
    <t xml:space="preserve">libelium.com</t>
  </si>
  <si>
    <t xml:space="preserve">IoT</t>
  </si>
  <si>
    <t xml:space="preserve">Hiberus</t>
  </si>
  <si>
    <t xml:space="preserve">Consultora / gran empresa</t>
  </si>
  <si>
    <t xml:space="preserve">SMR/ASIR/DAM/DAW</t>
  </si>
  <si>
    <t xml:space="preserve">Pº Isabel la Católica 6, 50009</t>
  </si>
  <si>
    <t xml:space="preserve">976 10 66 20</t>
  </si>
  <si>
    <t xml:space="preserve">hiberus.com</t>
  </si>
  <si>
    <t xml:space="preserve">Mayor empleador TIC de Aragón; tiene helpdesk</t>
  </si>
  <si>
    <t xml:space="preserve">Hiberus Booster (antes Factory Apps)</t>
  </si>
  <si>
    <t xml:space="preserve">DAM/DAW</t>
  </si>
  <si>
    <t xml:space="preserve">hiberusbooster.com</t>
  </si>
  <si>
    <t xml:space="preserve">Desarrollo apps</t>
  </si>
  <si>
    <t xml:space="preserve">Inycom</t>
  </si>
  <si>
    <t xml:space="preserve">SMR/ASIR/DAM</t>
  </si>
  <si>
    <t xml:space="preserve">PLAZA, C. Alaún 8, 50197</t>
  </si>
  <si>
    <t xml:space="preserve">976 01 33 00</t>
  </si>
  <si>
    <t xml:space="preserve">inycom.es</t>
  </si>
  <si>
    <t xml:space="preserve">Servicios TI + electromedicina</t>
  </si>
  <si>
    <t xml:space="preserve">NTT DATA (everis Aragón)</t>
  </si>
  <si>
    <t xml:space="preserve">DAM/DAW/ASIR</t>
  </si>
  <si>
    <t xml:space="preserve">Pl. Antonio Beltrán Martínez 1, pl. 9, 50002</t>
  </si>
  <si>
    <t xml:space="preserve">976 48 20 80</t>
  </si>
  <si>
    <t xml:space="preserve">nttdata.com</t>
  </si>
  <si>
    <t xml:space="preserve">Oficina Aragonia: Av. Juan Pablo II 35, pl. 6</t>
  </si>
  <si>
    <t xml:space="preserve">Capgemini Zaragoza</t>
  </si>
  <si>
    <t xml:space="preserve">C. Eduardo Ibarra 6, of. 2.4, 50009</t>
  </si>
  <si>
    <t xml:space="preserve">912 15 37 00</t>
  </si>
  <si>
    <t xml:space="preserve">capgemini.com</t>
  </si>
  <si>
    <t xml:space="preserve">Deloitte Zaragoza</t>
  </si>
  <si>
    <t xml:space="preserve">C. María Zambrano 31, torre oeste pl. 16, 50018</t>
  </si>
  <si>
    <t xml:space="preserve">976 21 46 75</t>
  </si>
  <si>
    <t xml:space="preserve">deloitte.com</t>
  </si>
  <si>
    <t xml:space="preserve">Área tecnología</t>
  </si>
  <si>
    <t xml:space="preserve">Indra Sistemas Zaragoza</t>
  </si>
  <si>
    <t xml:space="preserve">DAM/ASIR</t>
  </si>
  <si>
    <t xml:space="preserve">C. María Zambrano 31, 50018</t>
  </si>
  <si>
    <t xml:space="preserve">914 80 50 00</t>
  </si>
  <si>
    <t xml:space="preserve">indracompany.com</t>
  </si>
  <si>
    <t xml:space="preserve">Viewnext (IBM)</t>
  </si>
  <si>
    <t xml:space="preserve">Av. Gómez Laguna 25, pl. 11, 50009</t>
  </si>
  <si>
    <t xml:space="preserve">976 15 50 00</t>
  </si>
  <si>
    <t xml:space="preserve">viewnext.com</t>
  </si>
  <si>
    <t xml:space="preserve">Reseña: da oportunidades a recién titulados</t>
  </si>
  <si>
    <t xml:space="preserve">EFOR</t>
  </si>
  <si>
    <t xml:space="preserve">Pl. Roma F-1, pl. 1, 50010</t>
  </si>
  <si>
    <t xml:space="preserve">976 46 76 76</t>
  </si>
  <si>
    <t xml:space="preserve">efor.es</t>
  </si>
  <si>
    <t xml:space="preserve">Grupo Integra</t>
  </si>
  <si>
    <t xml:space="preserve">Integra Estrategia y Tecnología</t>
  </si>
  <si>
    <t xml:space="preserve">integratecnologia.es</t>
  </si>
  <si>
    <t xml:space="preserve">Mismo grupo que EFOR</t>
  </si>
  <si>
    <t xml:space="preserve">Suitech Consultoría y Tecnología</t>
  </si>
  <si>
    <t xml:space="preserve">629 20 35 11</t>
  </si>
  <si>
    <t xml:space="preserve">Mismo edificio que EFOR</t>
  </si>
  <si>
    <t xml:space="preserve">Nologin Consulting</t>
  </si>
  <si>
    <t xml:space="preserve">Av. Ranillas 1D, pl. 3 of. 3G, 50018</t>
  </si>
  <si>
    <t xml:space="preserve">976 51 24 33</t>
  </si>
  <si>
    <t xml:space="preserve">nologin.es</t>
  </si>
  <si>
    <t xml:space="preserve">Sistemas, VDI</t>
  </si>
  <si>
    <t xml:space="preserve">flexVDI</t>
  </si>
  <si>
    <t xml:space="preserve">Av. Ranillas 1D, of. 3G, 50018</t>
  </si>
  <si>
    <t xml:space="preserve">flexvdi.com</t>
  </si>
  <si>
    <t xml:space="preserve">Producto de Nologin</t>
  </si>
  <si>
    <t xml:space="preserve">Nettrim</t>
  </si>
  <si>
    <t xml:space="preserve">Av. Ranillas 1D, of. 3I, 50018</t>
  </si>
  <si>
    <t xml:space="preserve">976 24 95 28</t>
  </si>
  <si>
    <t xml:space="preserve">Babel Consultora Tecnológica</t>
  </si>
  <si>
    <t xml:space="preserve">Av. Ciudad de Soria 8, La Terminal pl. 4, 50003</t>
  </si>
  <si>
    <t xml:space="preserve">931 89 56 59</t>
  </si>
  <si>
    <t xml:space="preserve">babelgroup.com</t>
  </si>
  <si>
    <t xml:space="preserve">ZIMALTEC</t>
  </si>
  <si>
    <t xml:space="preserve">Ctra. Aeropuerto km 4, Ed. San Lamberto of. 9, 50011</t>
  </si>
  <si>
    <t xml:space="preserve">976 08 04 65</t>
  </si>
  <si>
    <t xml:space="preserve">zimaltec.es</t>
  </si>
  <si>
    <t xml:space="preserve">Microsoft Dynamics</t>
  </si>
  <si>
    <t xml:space="preserve">Advance Soluciones (Business Central)</t>
  </si>
  <si>
    <t xml:space="preserve">C. Cuatro de Agosto 18, pl. 3, 50003</t>
  </si>
  <si>
    <t xml:space="preserve">976 79 77 19</t>
  </si>
  <si>
    <t xml:space="preserve">Partner Navision/BC</t>
  </si>
  <si>
    <t xml:space="preserve">Golive</t>
  </si>
  <si>
    <t xml:space="preserve">DAM</t>
  </si>
  <si>
    <t xml:space="preserve">C. Madre Rafols 2, pl. 1, 50004</t>
  </si>
  <si>
    <t xml:space="preserve">976 79 73 04</t>
  </si>
  <si>
    <t xml:space="preserve">Industria y transporte</t>
  </si>
  <si>
    <t xml:space="preserve">Deveco</t>
  </si>
  <si>
    <t xml:space="preserve">Pº Pamplona 5, pl. 6, 50004</t>
  </si>
  <si>
    <t xml:space="preserve">976 50 03 23</t>
  </si>
  <si>
    <t xml:space="preserve">IA y automatización</t>
  </si>
  <si>
    <t xml:space="preserve">TAKTIC</t>
  </si>
  <si>
    <t xml:space="preserve">Pº Isabel la Católica 6, pl. 2, 50009</t>
  </si>
  <si>
    <t xml:space="preserve">976 23 02 43</t>
  </si>
  <si>
    <t xml:space="preserve">Transformación digital</t>
  </si>
  <si>
    <t xml:space="preserve">Idea Consulting</t>
  </si>
  <si>
    <t xml:space="preserve">SMR/DAM</t>
  </si>
  <si>
    <t xml:space="preserve">Pº Sagasta 54, 50006</t>
  </si>
  <si>
    <t xml:space="preserve">976 48 68 68</t>
  </si>
  <si>
    <t xml:space="preserve">Maubic Consultoría Tecnológica</t>
  </si>
  <si>
    <t xml:space="preserve">C. Coso 67, 6-C, 50001</t>
  </si>
  <si>
    <t xml:space="preserve">876 53 68 88</t>
  </si>
  <si>
    <t xml:space="preserve">ITAINNOVA (Instituto Tecnológico de Aragón)</t>
  </si>
  <si>
    <t xml:space="preserve">Organismo público / I+D</t>
  </si>
  <si>
    <t xml:space="preserve">C. María de Luna 7, 50018</t>
  </si>
  <si>
    <t xml:space="preserve">976 01 00 00</t>
  </si>
  <si>
    <t xml:space="preserve">itainnova.es</t>
  </si>
  <si>
    <t xml:space="preserve">Admite FCT; vía convenio DGA</t>
  </si>
  <si>
    <t xml:space="preserve">Aragonesa de Servicios Telemáticos (AST)</t>
  </si>
  <si>
    <t xml:space="preserve">Av. Ranillas 3A, pl. 3 of. J, 50018</t>
  </si>
  <si>
    <t xml:space="preserve">976 71 44 95</t>
  </si>
  <si>
    <t xml:space="preserve">ast.aragon.es</t>
  </si>
  <si>
    <t xml:space="preserve">TIC del Gobierno de Aragón</t>
  </si>
  <si>
    <t xml:space="preserve">Ibercaja Connect</t>
  </si>
  <si>
    <t xml:space="preserve">C. Bari 49, pl. 2, PLAZA 50197</t>
  </si>
  <si>
    <t xml:space="preserve">976 74 88 00</t>
  </si>
  <si>
    <t xml:space="preserve">Grupo Ibercaja; consultar Ibercaja Tech</t>
  </si>
  <si>
    <t xml:space="preserve">Memorándum Tecnología</t>
  </si>
  <si>
    <t xml:space="preserve">Desarrollo software</t>
  </si>
  <si>
    <t xml:space="preserve">Av. Cesáreo Alierta 53, pl. 1, 50008</t>
  </si>
  <si>
    <t xml:space="preserve">876 01 99 22</t>
  </si>
  <si>
    <t xml:space="preserve">memorandum.es</t>
  </si>
  <si>
    <t xml:space="preserve">Software + IA + Kit Digital</t>
  </si>
  <si>
    <t xml:space="preserve">ARANOVA</t>
  </si>
  <si>
    <t xml:space="preserve">C. Monte Perdido 4 (Pl. Fonz 4), 50015</t>
  </si>
  <si>
    <t xml:space="preserve">976 51 76 11</t>
  </si>
  <si>
    <t xml:space="preserve">Streaming, plataformas</t>
  </si>
  <si>
    <t xml:space="preserve">Integración y Desarrollo de Aplicaciones (IDA)</t>
  </si>
  <si>
    <t xml:space="preserve">C. Isla de Menorca 1, local 2, 50014</t>
  </si>
  <si>
    <t xml:space="preserve">976 46 03 50</t>
  </si>
  <si>
    <t xml:space="preserve">Software de gestión</t>
  </si>
  <si>
    <t xml:space="preserve">Digital SP</t>
  </si>
  <si>
    <t xml:space="preserve">DAW/DAM</t>
  </si>
  <si>
    <t xml:space="preserve">Etopia, Av. Ciudad de Soria 8, pl. 4 B01, 50003</t>
  </si>
  <si>
    <t xml:space="preserve">647 08 31 54</t>
  </si>
  <si>
    <t xml:space="preserve">Programación a medida</t>
  </si>
  <si>
    <t xml:space="preserve">DREAMS Diseño y Desarrollo</t>
  </si>
  <si>
    <t xml:space="preserve">DAW</t>
  </si>
  <si>
    <t xml:space="preserve">C. Cuatro de Agosto 18, 50003</t>
  </si>
  <si>
    <t xml:space="preserve">976 39 14 15</t>
  </si>
  <si>
    <t xml:space="preserve">Web, e-commerce, cloud</t>
  </si>
  <si>
    <t xml:space="preserve">VGS Proyectos Digitales</t>
  </si>
  <si>
    <t xml:space="preserve">DAW/ASIR</t>
  </si>
  <si>
    <t xml:space="preserve">C. Ibón de Estanés 16, 50011</t>
  </si>
  <si>
    <t xml:space="preserve">976 47 25 39</t>
  </si>
  <si>
    <t xml:space="preserve">E-commerce, cloud</t>
  </si>
  <si>
    <t xml:space="preserve">Piensa En Web</t>
  </si>
  <si>
    <t xml:space="preserve">Pl. San Felipe 1, 2º, 50003</t>
  </si>
  <si>
    <t xml:space="preserve">674 04 52 65</t>
  </si>
  <si>
    <t xml:space="preserve">piensaenweb.com</t>
  </si>
  <si>
    <t xml:space="preserve">Frucomedia</t>
  </si>
  <si>
    <t xml:space="preserve">C. San Agustín 4, local 4, 50002</t>
  </si>
  <si>
    <t xml:space="preserve">610 85 00 53</t>
  </si>
  <si>
    <t xml:space="preserve">Shopify, unipersonal</t>
  </si>
  <si>
    <t xml:space="preserve">rIL Studio</t>
  </si>
  <si>
    <t xml:space="preserve">876 28 25 32</t>
  </si>
  <si>
    <t xml:space="preserve">Web + SEO</t>
  </si>
  <si>
    <t xml:space="preserve">Mano de Mono Estudio</t>
  </si>
  <si>
    <t xml:space="preserve">C. José de la Hera 3, 50001</t>
  </si>
  <si>
    <t xml:space="preserve">618 16 50 23</t>
  </si>
  <si>
    <t xml:space="preserve">Diseño web</t>
  </si>
  <si>
    <t xml:space="preserve">Analíticamente</t>
  </si>
  <si>
    <t xml:space="preserve">C. Previsión Social 10, 50008</t>
  </si>
  <si>
    <t xml:space="preserve">619 98 44 04</t>
  </si>
  <si>
    <t xml:space="preserve">Marketing digital / web</t>
  </si>
  <si>
    <t xml:space="preserve">Agencia Omnia</t>
  </si>
  <si>
    <t xml:space="preserve">Pl. San Francisco 14, pl. 1 of. 4, 50006</t>
  </si>
  <si>
    <t xml:space="preserve">634 46 73 07</t>
  </si>
  <si>
    <t xml:space="preserve">Social11</t>
  </si>
  <si>
    <t xml:space="preserve">Pº Independencia 19, 6º dcha, 50001</t>
  </si>
  <si>
    <t xml:space="preserve">876 03 28 07</t>
  </si>
  <si>
    <t xml:space="preserve">Reseñas mixtas</t>
  </si>
  <si>
    <t xml:space="preserve">Jiménez Carbó</t>
  </si>
  <si>
    <t xml:space="preserve">Vía Hispanidad 123, local 1, 50011</t>
  </si>
  <si>
    <t xml:space="preserve">976 96 30 27</t>
  </si>
  <si>
    <t xml:space="preserve">Web + seguridad web</t>
  </si>
  <si>
    <t xml:space="preserve">Digital Zaragoza</t>
  </si>
  <si>
    <t xml:space="preserve">Pº Independencia 22, pl. 8, 50004</t>
  </si>
  <si>
    <t xml:space="preserve">976 39 91 55</t>
  </si>
  <si>
    <t xml:space="preserve">El Estudio de Andrés</t>
  </si>
  <si>
    <t xml:space="preserve">C. Duquesa de Villahermosa 31, 7ºB, 50010</t>
  </si>
  <si>
    <t xml:space="preserve">654 42 22 20</t>
  </si>
  <si>
    <t xml:space="preserve">Unipersonal</t>
  </si>
  <si>
    <t xml:space="preserve">Nubidoc / Treebole</t>
  </si>
  <si>
    <t xml:space="preserve">C. Santa Lucía 9, 50003</t>
  </si>
  <si>
    <t xml:space="preserve">876 01 95 53</t>
  </si>
  <si>
    <t xml:space="preserve">nubidoc.com</t>
  </si>
  <si>
    <t xml:space="preserve">Software clínicas (SaaS)</t>
  </si>
  <si>
    <t xml:space="preserve">Audinfor System</t>
  </si>
  <si>
    <t xml:space="preserve">C. Marcelino Álvarez 84, 50012</t>
  </si>
  <si>
    <t xml:space="preserve">976 31 20 18</t>
  </si>
  <si>
    <t xml:space="preserve">Software sector energético</t>
  </si>
  <si>
    <t xml:space="preserve">The Big Tech Experience</t>
  </si>
  <si>
    <t xml:space="preserve">DAM/SMR</t>
  </si>
  <si>
    <t xml:space="preserve">C. Asalto 23, 50002</t>
  </si>
  <si>
    <t xml:space="preserve">876 53 86 43</t>
  </si>
  <si>
    <t xml:space="preserve">ERP + TPV</t>
  </si>
  <si>
    <t xml:space="preserve">Esofitec</t>
  </si>
  <si>
    <t xml:space="preserve">C. Madre Rafols 2, Ed. Aida pl. 6 of. 5, 50004</t>
  </si>
  <si>
    <t xml:space="preserve">976 46 85 53</t>
  </si>
  <si>
    <t xml:space="preserve">ERP/contabilidad</t>
  </si>
  <si>
    <t xml:space="preserve">JubiERP</t>
  </si>
  <si>
    <t xml:space="preserve">C. Ramiro I de Aragón 22, 50017</t>
  </si>
  <si>
    <t xml:space="preserve">jubierp.com</t>
  </si>
  <si>
    <t xml:space="preserve">ERP SaaS</t>
  </si>
  <si>
    <t xml:space="preserve">Ahora Express Zaragoza</t>
  </si>
  <si>
    <t xml:space="preserve">Esprinet Ibérica</t>
  </si>
  <si>
    <t xml:space="preserve">Distribución / mayorista</t>
  </si>
  <si>
    <t xml:space="preserve">PLAZA, C. Osca 2, naves 2-5, 50197</t>
  </si>
  <si>
    <t xml:space="preserve">976 76 61 10</t>
  </si>
  <si>
    <t xml:space="preserve">esprinet.com</t>
  </si>
  <si>
    <t xml:space="preserve">Mayorista informática, logística</t>
  </si>
  <si>
    <t xml:space="preserve">Información Tecnología y Mercado (ITM)</t>
  </si>
  <si>
    <t xml:space="preserve">PLAZA, C. Bari 57, 50197</t>
  </si>
  <si>
    <t xml:space="preserve">976 59 73 86</t>
  </si>
  <si>
    <t xml:space="preserve">Nitropc</t>
  </si>
  <si>
    <t xml:space="preserve">C. María Zambrano 31, torre oeste pl. 15, 50018</t>
  </si>
  <si>
    <t xml:space="preserve">876 61 45 01</t>
  </si>
  <si>
    <t xml:space="preserve">nitropc.com</t>
  </si>
  <si>
    <t xml:space="preserve">Montaje PCs, 1.300+ reseñas</t>
  </si>
  <si>
    <t xml:space="preserve">Informática Zaragoza</t>
  </si>
  <si>
    <t xml:space="preserve">Tienda / reparación</t>
  </si>
  <si>
    <t xml:space="preserve">C. Cortes de Aragón 64, 50005</t>
  </si>
  <si>
    <t xml:space="preserve">976 56 56 22</t>
  </si>
  <si>
    <t xml:space="preserve">informaticazaragoza.com</t>
  </si>
  <si>
    <t xml:space="preserve">396 reseñas</t>
  </si>
  <si>
    <t xml:space="preserve">DCV Informática</t>
  </si>
  <si>
    <t xml:space="preserve">Ronda Ibón de Plan 32, 50011</t>
  </si>
  <si>
    <t xml:space="preserve">675 76 88 59</t>
  </si>
  <si>
    <t xml:space="preserve">Unipersonal, cita previa</t>
  </si>
  <si>
    <t xml:space="preserve">Reparagoza</t>
  </si>
  <si>
    <t xml:space="preserve">C. San Francisco de Borja 7, 50009</t>
  </si>
  <si>
    <t xml:space="preserve">876 45 01 86</t>
  </si>
  <si>
    <t xml:space="preserve">reparagoza.com</t>
  </si>
  <si>
    <t xml:space="preserve">Clínica de Ordenadores</t>
  </si>
  <si>
    <t xml:space="preserve">C. Pedro María Ric 20, 50008</t>
  </si>
  <si>
    <t xml:space="preserve">976 79 61 58</t>
  </si>
  <si>
    <t xml:space="preserve">clinicadeordenadores.com</t>
  </si>
  <si>
    <t xml:space="preserve">Mundo Informático</t>
  </si>
  <si>
    <t xml:space="preserve">Av. Almozara 51, 50003</t>
  </si>
  <si>
    <t xml:space="preserve">976 28 15 58</t>
  </si>
  <si>
    <t xml:space="preserve">mundoinfo.es</t>
  </si>
  <si>
    <t xml:space="preserve">APP Informática Actur</t>
  </si>
  <si>
    <t xml:space="preserve">C. Rafael Alberti 21, 50018</t>
  </si>
  <si>
    <t xml:space="preserve">976 51 96 07</t>
  </si>
  <si>
    <t xml:space="preserve">APP Informática Pza. Mozart</t>
  </si>
  <si>
    <t xml:space="preserve">Pº Longares 26, 50014</t>
  </si>
  <si>
    <t xml:space="preserve">976 07 50 25</t>
  </si>
  <si>
    <t xml:space="preserve">ATM Tiendas / Taller del Portátil</t>
  </si>
  <si>
    <t xml:space="preserve">C. Alberto Duce 14, 50018</t>
  </si>
  <si>
    <t xml:space="preserve">976 46 61 16</t>
  </si>
  <si>
    <t xml:space="preserve">BEEP Informática Actur</t>
  </si>
  <si>
    <t xml:space="preserve">C. Pablo Ruiz Picasso 18, 50015</t>
  </si>
  <si>
    <t xml:space="preserve">976 73 18 52</t>
  </si>
  <si>
    <t xml:space="preserve">beep.es</t>
  </si>
  <si>
    <t xml:space="preserve">Franquicia</t>
  </si>
  <si>
    <t xml:space="preserve">Infoara</t>
  </si>
  <si>
    <t xml:space="preserve">C. Pablo Remacha 25, 50008</t>
  </si>
  <si>
    <t xml:space="preserve">640 62 07 63</t>
  </si>
  <si>
    <t xml:space="preserve">Zarafix</t>
  </si>
  <si>
    <t xml:space="preserve">Pl. Utrillas 1, local 1, 50013</t>
  </si>
  <si>
    <t xml:space="preserve">676 54 76 79</t>
  </si>
  <si>
    <t xml:space="preserve">PCZeta</t>
  </si>
  <si>
    <t xml:space="preserve">C. Heroísmo 34, 50002</t>
  </si>
  <si>
    <t xml:space="preserve">614 36 09 70</t>
  </si>
  <si>
    <t xml:space="preserve">Montaje a medida, cita previa</t>
  </si>
  <si>
    <t xml:space="preserve">Informática San José</t>
  </si>
  <si>
    <t xml:space="preserve">Av. Tenor Fleta 116, 50007</t>
  </si>
  <si>
    <t xml:space="preserve">976 37 53 07</t>
  </si>
  <si>
    <t xml:space="preserve">Aragón Robotics</t>
  </si>
  <si>
    <t xml:space="preserve">Pl. España 4, 50001</t>
  </si>
  <si>
    <t xml:space="preserve">629 80 80 07</t>
  </si>
  <si>
    <t xml:space="preserve">Verificar actividad</t>
  </si>
  <si>
    <t xml:space="preserve">Resumen prospección</t>
  </si>
  <si>
    <t xml:space="preserve">Nº empresas</t>
  </si>
  <si>
    <t xml:space="preserve">Convenio firmado</t>
  </si>
  <si>
    <t xml:space="preserve">TOTAL</t>
  </si>
  <si>
    <t xml:space="preserve">Estado</t>
  </si>
  <si>
    <t xml:space="preserve">Nº</t>
  </si>
  <si>
    <t xml:space="preserve">Contactado</t>
  </si>
  <si>
    <t xml:space="preserve">Interesada</t>
  </si>
  <si>
    <t xml:space="preserve">Rechazada</t>
  </si>
  <si>
    <t xml:space="preserve">Leyenda: celdas amarillas de la hoja Empresas son las de seguimiento a rellenar. Fuente del listado: Google Maps (sept. 2026) + empresas TIC conocidas de Zaragoza; verificar teléfonos y direcciones antes de firmar convenio.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</si>
</sst>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2" min="11" style="0" width="22"/>
    <col collapsed="false" customWidth="true" hidden="false" outlineLevel="0" max="13" min="13" style="0" width="13"/>
    <col collapsed="false" customWidth="true" hidden="false" outlineLevel="0" max="14" min="14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3"/>
      <c r="L2" s="3"/>
      <c r="M2" s="3"/>
      <c r="N2" s="3"/>
    </row>
    <row r="3" customFormat="false" ht="15" hidden="false" customHeight="false" outlineLevel="0" collapsed="false">
      <c r="A3" s="2" t="n">
        <v>2</v>
      </c>
      <c r="B3" s="2" t="s">
        <v>23</v>
      </c>
      <c r="C3" s="2" t="s">
        <v>15</v>
      </c>
      <c r="D3" s="2" t="s">
        <v>16</v>
      </c>
      <c r="E3" s="2" t="s">
        <v>24</v>
      </c>
      <c r="F3" s="2" t="s">
        <v>25</v>
      </c>
      <c r="G3" s="2" t="s">
        <v>26</v>
      </c>
      <c r="H3" s="2" t="s">
        <v>20</v>
      </c>
      <c r="I3" s="2"/>
      <c r="J3" s="3" t="s">
        <v>22</v>
      </c>
      <c r="K3" s="3"/>
      <c r="L3" s="3"/>
      <c r="M3" s="3"/>
      <c r="N3" s="3"/>
    </row>
    <row r="4" customFormat="false" ht="15" hidden="false" customHeight="false" outlineLevel="0" collapsed="false">
      <c r="A4" s="2" t="n">
        <v>3</v>
      </c>
      <c r="B4" s="2" t="s">
        <v>27</v>
      </c>
      <c r="C4" s="2" t="s">
        <v>15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20</v>
      </c>
      <c r="I4" s="2" t="s">
        <v>32</v>
      </c>
      <c r="J4" s="3" t="s">
        <v>22</v>
      </c>
      <c r="K4" s="3"/>
      <c r="L4" s="3"/>
      <c r="M4" s="3"/>
      <c r="N4" s="3"/>
    </row>
    <row r="5" customFormat="false" ht="15" hidden="false" customHeight="false" outlineLevel="0" collapsed="false">
      <c r="A5" s="2" t="n">
        <v>4</v>
      </c>
      <c r="B5" s="2" t="s">
        <v>33</v>
      </c>
      <c r="C5" s="2" t="s">
        <v>15</v>
      </c>
      <c r="D5" s="2" t="s">
        <v>16</v>
      </c>
      <c r="E5" s="2" t="s">
        <v>34</v>
      </c>
      <c r="F5" s="2" t="s">
        <v>35</v>
      </c>
      <c r="G5" s="2" t="s">
        <v>36</v>
      </c>
      <c r="H5" s="2" t="s">
        <v>20</v>
      </c>
      <c r="I5" s="2" t="s">
        <v>37</v>
      </c>
      <c r="J5" s="3" t="s">
        <v>22</v>
      </c>
      <c r="K5" s="3"/>
      <c r="L5" s="3"/>
      <c r="M5" s="3"/>
      <c r="N5" s="3"/>
    </row>
    <row r="6" customFormat="false" ht="15" hidden="false" customHeight="false" outlineLevel="0" collapsed="false">
      <c r="A6" s="2" t="n">
        <v>5</v>
      </c>
      <c r="B6" s="2" t="s">
        <v>38</v>
      </c>
      <c r="C6" s="2" t="s">
        <v>15</v>
      </c>
      <c r="D6" s="2" t="s">
        <v>28</v>
      </c>
      <c r="E6" s="2" t="s">
        <v>39</v>
      </c>
      <c r="F6" s="2" t="s">
        <v>40</v>
      </c>
      <c r="G6" s="2" t="s">
        <v>41</v>
      </c>
      <c r="H6" s="2" t="s">
        <v>20</v>
      </c>
      <c r="I6" s="2"/>
      <c r="J6" s="3" t="s">
        <v>22</v>
      </c>
      <c r="K6" s="3"/>
      <c r="L6" s="3"/>
      <c r="M6" s="3"/>
      <c r="N6" s="3"/>
    </row>
    <row r="7" customFormat="false" ht="15" hidden="false" customHeight="false" outlineLevel="0" collapsed="false">
      <c r="A7" s="2" t="n">
        <v>6</v>
      </c>
      <c r="B7" s="2" t="s">
        <v>42</v>
      </c>
      <c r="C7" s="2" t="s">
        <v>15</v>
      </c>
      <c r="D7" s="2" t="s">
        <v>16</v>
      </c>
      <c r="E7" s="2" t="s">
        <v>43</v>
      </c>
      <c r="F7" s="2" t="s">
        <v>44</v>
      </c>
      <c r="G7" s="2" t="s">
        <v>45</v>
      </c>
      <c r="H7" s="2" t="s">
        <v>20</v>
      </c>
      <c r="I7" s="2"/>
      <c r="J7" s="3" t="s">
        <v>22</v>
      </c>
      <c r="K7" s="3"/>
      <c r="L7" s="3"/>
      <c r="M7" s="3"/>
      <c r="N7" s="3"/>
    </row>
    <row r="8" customFormat="false" ht="15" hidden="false" customHeight="false" outlineLevel="0" collapsed="false">
      <c r="A8" s="2" t="n">
        <v>7</v>
      </c>
      <c r="B8" s="2" t="s">
        <v>46</v>
      </c>
      <c r="C8" s="2" t="s">
        <v>15</v>
      </c>
      <c r="D8" s="2" t="s">
        <v>28</v>
      </c>
      <c r="E8" s="2" t="s">
        <v>47</v>
      </c>
      <c r="F8" s="2" t="s">
        <v>48</v>
      </c>
      <c r="G8" s="2" t="s">
        <v>49</v>
      </c>
      <c r="H8" s="2" t="s">
        <v>50</v>
      </c>
      <c r="I8" s="2"/>
      <c r="J8" s="3" t="s">
        <v>22</v>
      </c>
      <c r="K8" s="3"/>
      <c r="L8" s="3"/>
      <c r="M8" s="3"/>
      <c r="N8" s="3"/>
    </row>
    <row r="9" customFormat="false" ht="15" hidden="false" customHeight="false" outlineLevel="0" collapsed="false">
      <c r="A9" s="2" t="n">
        <v>8</v>
      </c>
      <c r="B9" s="2" t="s">
        <v>51</v>
      </c>
      <c r="C9" s="2" t="s">
        <v>15</v>
      </c>
      <c r="D9" s="2" t="s">
        <v>28</v>
      </c>
      <c r="E9" s="2" t="s">
        <v>52</v>
      </c>
      <c r="F9" s="2" t="s">
        <v>53</v>
      </c>
      <c r="G9" s="2" t="s">
        <v>54</v>
      </c>
      <c r="H9" s="2" t="s">
        <v>50</v>
      </c>
      <c r="I9" s="2" t="s">
        <v>55</v>
      </c>
      <c r="J9" s="3" t="s">
        <v>22</v>
      </c>
      <c r="K9" s="3"/>
      <c r="L9" s="3"/>
      <c r="M9" s="3"/>
      <c r="N9" s="3"/>
    </row>
    <row r="10" customFormat="false" ht="15" hidden="false" customHeight="false" outlineLevel="0" collapsed="false">
      <c r="A10" s="2" t="n">
        <v>9</v>
      </c>
      <c r="B10" s="2" t="s">
        <v>56</v>
      </c>
      <c r="C10" s="2" t="s">
        <v>15</v>
      </c>
      <c r="D10" s="2" t="s">
        <v>57</v>
      </c>
      <c r="E10" s="2" t="s">
        <v>52</v>
      </c>
      <c r="F10" s="2" t="s">
        <v>58</v>
      </c>
      <c r="G10" s="2" t="s">
        <v>59</v>
      </c>
      <c r="H10" s="2" t="s">
        <v>50</v>
      </c>
      <c r="I10" s="2" t="s">
        <v>60</v>
      </c>
      <c r="J10" s="3" t="s">
        <v>22</v>
      </c>
      <c r="K10" s="3"/>
      <c r="L10" s="3"/>
      <c r="M10" s="3"/>
      <c r="N10" s="3"/>
    </row>
    <row r="11" customFormat="false" ht="15" hidden="false" customHeight="false" outlineLevel="0" collapsed="false">
      <c r="A11" s="2" t="n">
        <v>10</v>
      </c>
      <c r="B11" s="2" t="s">
        <v>61</v>
      </c>
      <c r="C11" s="2" t="s">
        <v>15</v>
      </c>
      <c r="D11" s="2" t="s">
        <v>28</v>
      </c>
      <c r="E11" s="2" t="s">
        <v>62</v>
      </c>
      <c r="F11" s="2" t="s">
        <v>63</v>
      </c>
      <c r="G11" s="2" t="s">
        <v>64</v>
      </c>
      <c r="H11" s="2" t="s">
        <v>50</v>
      </c>
      <c r="I11" s="2" t="s">
        <v>65</v>
      </c>
      <c r="J11" s="3" t="s">
        <v>22</v>
      </c>
      <c r="K11" s="3"/>
      <c r="L11" s="3"/>
      <c r="M11" s="3"/>
      <c r="N11" s="3"/>
    </row>
    <row r="12" customFormat="false" ht="15" hidden="false" customHeight="false" outlineLevel="0" collapsed="false">
      <c r="A12" s="2" t="n">
        <v>11</v>
      </c>
      <c r="B12" s="2" t="s">
        <v>66</v>
      </c>
      <c r="C12" s="2" t="s">
        <v>15</v>
      </c>
      <c r="D12" s="2" t="s">
        <v>28</v>
      </c>
      <c r="E12" s="2" t="s">
        <v>67</v>
      </c>
      <c r="F12" s="2" t="s">
        <v>68</v>
      </c>
      <c r="G12" s="2" t="s">
        <v>69</v>
      </c>
      <c r="H12" s="2" t="s">
        <v>50</v>
      </c>
      <c r="I12" s="2" t="s">
        <v>70</v>
      </c>
      <c r="J12" s="3" t="s">
        <v>22</v>
      </c>
      <c r="K12" s="3"/>
      <c r="L12" s="3"/>
      <c r="M12" s="3"/>
      <c r="N12" s="3"/>
    </row>
    <row r="13" customFormat="false" ht="15" hidden="false" customHeight="false" outlineLevel="0" collapsed="false">
      <c r="A13" s="2" t="n">
        <v>12</v>
      </c>
      <c r="B13" s="2" t="s">
        <v>71</v>
      </c>
      <c r="C13" s="2" t="s">
        <v>15</v>
      </c>
      <c r="D13" s="2" t="s">
        <v>28</v>
      </c>
      <c r="E13" s="2" t="s">
        <v>72</v>
      </c>
      <c r="F13" s="2" t="s">
        <v>73</v>
      </c>
      <c r="G13" s="2" t="s">
        <v>74</v>
      </c>
      <c r="H13" s="2" t="s">
        <v>50</v>
      </c>
      <c r="I13" s="2" t="s">
        <v>75</v>
      </c>
      <c r="J13" s="3" t="s">
        <v>22</v>
      </c>
      <c r="K13" s="3"/>
      <c r="L13" s="3"/>
      <c r="M13" s="3"/>
      <c r="N13" s="3"/>
    </row>
    <row r="14" customFormat="false" ht="15" hidden="false" customHeight="false" outlineLevel="0" collapsed="false">
      <c r="A14" s="2" t="n">
        <v>13</v>
      </c>
      <c r="B14" s="2" t="s">
        <v>76</v>
      </c>
      <c r="C14" s="2" t="s">
        <v>15</v>
      </c>
      <c r="D14" s="2" t="s">
        <v>16</v>
      </c>
      <c r="E14" s="2" t="s">
        <v>77</v>
      </c>
      <c r="F14" s="2" t="s">
        <v>78</v>
      </c>
      <c r="G14" s="2"/>
      <c r="H14" s="2" t="s">
        <v>20</v>
      </c>
      <c r="I14" s="2"/>
      <c r="J14" s="3" t="s">
        <v>22</v>
      </c>
      <c r="K14" s="3"/>
      <c r="L14" s="3"/>
      <c r="M14" s="3"/>
      <c r="N14" s="3"/>
    </row>
    <row r="15" customFormat="false" ht="15" hidden="false" customHeight="false" outlineLevel="0" collapsed="false">
      <c r="A15" s="2" t="n">
        <v>14</v>
      </c>
      <c r="B15" s="2" t="s">
        <v>79</v>
      </c>
      <c r="C15" s="2" t="s">
        <v>15</v>
      </c>
      <c r="D15" s="2" t="s">
        <v>16</v>
      </c>
      <c r="E15" s="2" t="s">
        <v>80</v>
      </c>
      <c r="F15" s="2" t="s">
        <v>81</v>
      </c>
      <c r="G15" s="2"/>
      <c r="H15" s="2" t="s">
        <v>20</v>
      </c>
      <c r="I15" s="2"/>
      <c r="J15" s="3" t="s">
        <v>22</v>
      </c>
      <c r="K15" s="3"/>
      <c r="L15" s="3"/>
      <c r="M15" s="3"/>
      <c r="N15" s="3"/>
    </row>
    <row r="16" customFormat="false" ht="15" hidden="false" customHeight="false" outlineLevel="0" collapsed="false">
      <c r="A16" s="2" t="n">
        <v>15</v>
      </c>
      <c r="B16" s="2" t="s">
        <v>82</v>
      </c>
      <c r="C16" s="2" t="s">
        <v>15</v>
      </c>
      <c r="D16" s="2" t="s">
        <v>16</v>
      </c>
      <c r="E16" s="2" t="s">
        <v>83</v>
      </c>
      <c r="F16" s="2" t="s">
        <v>84</v>
      </c>
      <c r="G16" s="2"/>
      <c r="H16" s="2" t="s">
        <v>20</v>
      </c>
      <c r="I16" s="2" t="s">
        <v>85</v>
      </c>
      <c r="J16" s="3" t="s">
        <v>22</v>
      </c>
      <c r="K16" s="3"/>
      <c r="L16" s="3"/>
      <c r="M16" s="3"/>
      <c r="N16" s="3"/>
    </row>
    <row r="17" customFormat="false" ht="15" hidden="false" customHeight="false" outlineLevel="0" collapsed="false">
      <c r="A17" s="2" t="n">
        <v>16</v>
      </c>
      <c r="B17" s="2" t="s">
        <v>86</v>
      </c>
      <c r="C17" s="2" t="s">
        <v>15</v>
      </c>
      <c r="D17" s="2" t="s">
        <v>28</v>
      </c>
      <c r="E17" s="2" t="s">
        <v>87</v>
      </c>
      <c r="F17" s="2" t="s">
        <v>88</v>
      </c>
      <c r="G17" s="2"/>
      <c r="H17" s="2" t="s">
        <v>50</v>
      </c>
      <c r="I17" s="2"/>
      <c r="J17" s="3" t="s">
        <v>22</v>
      </c>
      <c r="K17" s="3"/>
      <c r="L17" s="3"/>
      <c r="M17" s="3"/>
      <c r="N17" s="3"/>
    </row>
    <row r="18" customFormat="false" ht="15" hidden="false" customHeight="false" outlineLevel="0" collapsed="false">
      <c r="A18" s="2" t="n">
        <v>17</v>
      </c>
      <c r="B18" s="2" t="s">
        <v>89</v>
      </c>
      <c r="C18" s="2" t="s">
        <v>15</v>
      </c>
      <c r="D18" s="2" t="s">
        <v>28</v>
      </c>
      <c r="E18" s="2" t="s">
        <v>90</v>
      </c>
      <c r="F18" s="2" t="s">
        <v>91</v>
      </c>
      <c r="G18" s="2"/>
      <c r="H18" s="2" t="s">
        <v>50</v>
      </c>
      <c r="I18" s="2"/>
      <c r="J18" s="3" t="s">
        <v>22</v>
      </c>
      <c r="K18" s="3"/>
      <c r="L18" s="3"/>
      <c r="M18" s="3"/>
      <c r="N18" s="3"/>
    </row>
    <row r="19" customFormat="false" ht="15" hidden="false" customHeight="false" outlineLevel="0" collapsed="false">
      <c r="A19" s="2" t="n">
        <v>18</v>
      </c>
      <c r="B19" s="2" t="s">
        <v>92</v>
      </c>
      <c r="C19" s="2" t="s">
        <v>15</v>
      </c>
      <c r="D19" s="2" t="s">
        <v>28</v>
      </c>
      <c r="E19" s="2" t="s">
        <v>93</v>
      </c>
      <c r="F19" s="2" t="s">
        <v>94</v>
      </c>
      <c r="G19" s="2"/>
      <c r="H19" s="2" t="s">
        <v>50</v>
      </c>
      <c r="I19" s="2" t="s">
        <v>95</v>
      </c>
      <c r="J19" s="3" t="s">
        <v>22</v>
      </c>
      <c r="K19" s="3"/>
      <c r="L19" s="3"/>
      <c r="M19" s="3"/>
      <c r="N19" s="3"/>
    </row>
    <row r="20" customFormat="false" ht="15" hidden="false" customHeight="false" outlineLevel="0" collapsed="false">
      <c r="A20" s="2" t="n">
        <v>19</v>
      </c>
      <c r="B20" s="2" t="s">
        <v>96</v>
      </c>
      <c r="C20" s="2" t="s">
        <v>15</v>
      </c>
      <c r="D20" s="2" t="s">
        <v>16</v>
      </c>
      <c r="E20" s="2" t="s">
        <v>97</v>
      </c>
      <c r="F20" s="2" t="s">
        <v>98</v>
      </c>
      <c r="G20" s="2"/>
      <c r="H20" s="2" t="s">
        <v>50</v>
      </c>
      <c r="I20" s="2" t="s">
        <v>99</v>
      </c>
      <c r="J20" s="3" t="s">
        <v>22</v>
      </c>
      <c r="K20" s="3"/>
      <c r="L20" s="3"/>
      <c r="M20" s="3"/>
      <c r="N20" s="3"/>
    </row>
    <row r="21" customFormat="false" ht="15" hidden="false" customHeight="false" outlineLevel="0" collapsed="false">
      <c r="A21" s="2" t="n">
        <v>20</v>
      </c>
      <c r="B21" s="2" t="s">
        <v>100</v>
      </c>
      <c r="C21" s="2" t="s">
        <v>15</v>
      </c>
      <c r="D21" s="2" t="s">
        <v>28</v>
      </c>
      <c r="E21" s="2" t="s">
        <v>101</v>
      </c>
      <c r="F21" s="2" t="s">
        <v>102</v>
      </c>
      <c r="G21" s="2"/>
      <c r="H21" s="2" t="s">
        <v>103</v>
      </c>
      <c r="I21" s="2" t="s">
        <v>104</v>
      </c>
      <c r="J21" s="3" t="s">
        <v>22</v>
      </c>
      <c r="K21" s="3"/>
      <c r="L21" s="3"/>
      <c r="M21" s="3"/>
      <c r="N21" s="3"/>
    </row>
    <row r="22" customFormat="false" ht="15" hidden="false" customHeight="false" outlineLevel="0" collapsed="false">
      <c r="A22" s="2" t="n">
        <v>21</v>
      </c>
      <c r="B22" s="2" t="s">
        <v>105</v>
      </c>
      <c r="C22" s="2" t="s">
        <v>15</v>
      </c>
      <c r="D22" s="2" t="s">
        <v>57</v>
      </c>
      <c r="E22" s="2" t="s">
        <v>106</v>
      </c>
      <c r="F22" s="2" t="s">
        <v>107</v>
      </c>
      <c r="G22" s="2"/>
      <c r="H22" s="2" t="s">
        <v>50</v>
      </c>
      <c r="I22" s="2" t="s">
        <v>108</v>
      </c>
      <c r="J22" s="3" t="s">
        <v>22</v>
      </c>
      <c r="K22" s="3"/>
      <c r="L22" s="3"/>
      <c r="M22" s="3"/>
      <c r="N22" s="3"/>
    </row>
    <row r="23" customFormat="false" ht="15" hidden="false" customHeight="false" outlineLevel="0" collapsed="false">
      <c r="A23" s="2" t="n">
        <v>22</v>
      </c>
      <c r="B23" s="2" t="s">
        <v>109</v>
      </c>
      <c r="C23" s="2" t="s">
        <v>110</v>
      </c>
      <c r="D23" s="2" t="s">
        <v>16</v>
      </c>
      <c r="E23" s="2" t="s">
        <v>111</v>
      </c>
      <c r="F23" s="2" t="s">
        <v>112</v>
      </c>
      <c r="G23" s="2" t="s">
        <v>113</v>
      </c>
      <c r="H23" s="2" t="s">
        <v>20</v>
      </c>
      <c r="I23" s="2" t="s">
        <v>114</v>
      </c>
      <c r="J23" s="3" t="s">
        <v>22</v>
      </c>
      <c r="K23" s="3"/>
      <c r="L23" s="3"/>
      <c r="M23" s="3"/>
      <c r="N23" s="3"/>
    </row>
    <row r="24" customFormat="false" ht="15" hidden="false" customHeight="false" outlineLevel="0" collapsed="false">
      <c r="A24" s="2" t="n">
        <v>23</v>
      </c>
      <c r="B24" s="2" t="s">
        <v>115</v>
      </c>
      <c r="C24" s="2" t="s">
        <v>116</v>
      </c>
      <c r="D24" s="2" t="s">
        <v>16</v>
      </c>
      <c r="E24" s="2" t="s">
        <v>117</v>
      </c>
      <c r="F24" s="2" t="s">
        <v>118</v>
      </c>
      <c r="G24" s="2" t="s">
        <v>119</v>
      </c>
      <c r="H24" s="2" t="s">
        <v>20</v>
      </c>
      <c r="I24" s="2"/>
      <c r="J24" s="3" t="s">
        <v>22</v>
      </c>
      <c r="K24" s="3"/>
      <c r="L24" s="3"/>
      <c r="M24" s="3"/>
      <c r="N24" s="3"/>
    </row>
    <row r="25" customFormat="false" ht="15" hidden="false" customHeight="false" outlineLevel="0" collapsed="false">
      <c r="A25" s="2" t="n">
        <v>24</v>
      </c>
      <c r="B25" s="2" t="s">
        <v>120</v>
      </c>
      <c r="C25" s="2" t="s">
        <v>110</v>
      </c>
      <c r="D25" s="2" t="s">
        <v>16</v>
      </c>
      <c r="E25" s="2" t="s">
        <v>121</v>
      </c>
      <c r="F25" s="2" t="s">
        <v>122</v>
      </c>
      <c r="G25" s="2" t="s">
        <v>123</v>
      </c>
      <c r="H25" s="2" t="s">
        <v>20</v>
      </c>
      <c r="I25" s="2"/>
      <c r="J25" s="3" t="s">
        <v>22</v>
      </c>
      <c r="K25" s="3"/>
      <c r="L25" s="3"/>
      <c r="M25" s="3"/>
      <c r="N25" s="3"/>
    </row>
    <row r="26" customFormat="false" ht="15" hidden="false" customHeight="false" outlineLevel="0" collapsed="false">
      <c r="A26" s="2" t="n">
        <v>25</v>
      </c>
      <c r="B26" s="2" t="s">
        <v>124</v>
      </c>
      <c r="C26" s="2" t="s">
        <v>116</v>
      </c>
      <c r="D26" s="2" t="s">
        <v>57</v>
      </c>
      <c r="E26" s="2" t="s">
        <v>125</v>
      </c>
      <c r="F26" s="2" t="s">
        <v>126</v>
      </c>
      <c r="G26" s="2" t="s">
        <v>127</v>
      </c>
      <c r="H26" s="2" t="s">
        <v>50</v>
      </c>
      <c r="I26" s="2" t="s">
        <v>128</v>
      </c>
      <c r="J26" s="3" t="s">
        <v>22</v>
      </c>
      <c r="K26" s="3"/>
      <c r="L26" s="3"/>
      <c r="M26" s="3"/>
      <c r="N26" s="3"/>
    </row>
    <row r="27" customFormat="false" ht="15" hidden="false" customHeight="false" outlineLevel="0" collapsed="false">
      <c r="A27" s="2" t="n">
        <v>26</v>
      </c>
      <c r="B27" s="2" t="s">
        <v>129</v>
      </c>
      <c r="C27" s="2" t="s">
        <v>116</v>
      </c>
      <c r="D27" s="2" t="s">
        <v>130</v>
      </c>
      <c r="E27" s="2" t="s">
        <v>131</v>
      </c>
      <c r="F27" s="2" t="s">
        <v>132</v>
      </c>
      <c r="G27" s="2" t="s">
        <v>133</v>
      </c>
      <c r="H27" s="2" t="s">
        <v>50</v>
      </c>
      <c r="I27" s="2"/>
      <c r="J27" s="3" t="s">
        <v>22</v>
      </c>
      <c r="K27" s="3"/>
      <c r="L27" s="3"/>
      <c r="M27" s="3"/>
      <c r="N27" s="3"/>
    </row>
    <row r="28" customFormat="false" ht="15" hidden="false" customHeight="false" outlineLevel="0" collapsed="false">
      <c r="A28" s="2" t="n">
        <v>27</v>
      </c>
      <c r="B28" s="2" t="s">
        <v>134</v>
      </c>
      <c r="C28" s="2" t="s">
        <v>110</v>
      </c>
      <c r="D28" s="2" t="s">
        <v>28</v>
      </c>
      <c r="E28" s="2" t="s">
        <v>93</v>
      </c>
      <c r="F28" s="2" t="s">
        <v>135</v>
      </c>
      <c r="G28" s="2"/>
      <c r="H28" s="2" t="s">
        <v>50</v>
      </c>
      <c r="I28" s="2" t="s">
        <v>136</v>
      </c>
      <c r="J28" s="3" t="s">
        <v>22</v>
      </c>
      <c r="K28" s="3"/>
      <c r="L28" s="3"/>
      <c r="M28" s="3"/>
      <c r="N28" s="3"/>
    </row>
    <row r="29" customFormat="false" ht="15" hidden="false" customHeight="false" outlineLevel="0" collapsed="false">
      <c r="A29" s="2" t="n">
        <v>28</v>
      </c>
      <c r="B29" s="2" t="s">
        <v>137</v>
      </c>
      <c r="C29" s="2" t="s">
        <v>110</v>
      </c>
      <c r="D29" s="2" t="s">
        <v>28</v>
      </c>
      <c r="E29" s="2" t="s">
        <v>138</v>
      </c>
      <c r="F29" s="2" t="s">
        <v>139</v>
      </c>
      <c r="G29" s="2"/>
      <c r="H29" s="2" t="s">
        <v>50</v>
      </c>
      <c r="I29" s="2"/>
      <c r="J29" s="3" t="s">
        <v>22</v>
      </c>
      <c r="K29" s="3"/>
      <c r="L29" s="3"/>
      <c r="M29" s="3"/>
      <c r="N29" s="3"/>
    </row>
    <row r="30" customFormat="false" ht="15" hidden="false" customHeight="false" outlineLevel="0" collapsed="false">
      <c r="A30" s="2" t="n">
        <v>29</v>
      </c>
      <c r="B30" s="2" t="s">
        <v>140</v>
      </c>
      <c r="C30" s="2" t="s">
        <v>110</v>
      </c>
      <c r="D30" s="2" t="s">
        <v>16</v>
      </c>
      <c r="E30" s="2" t="s">
        <v>141</v>
      </c>
      <c r="F30" s="2" t="s">
        <v>142</v>
      </c>
      <c r="G30" s="2" t="s">
        <v>143</v>
      </c>
      <c r="H30" s="2" t="s">
        <v>50</v>
      </c>
      <c r="I30" s="2" t="s">
        <v>144</v>
      </c>
      <c r="J30" s="3" t="s">
        <v>22</v>
      </c>
      <c r="K30" s="3"/>
      <c r="L30" s="3"/>
      <c r="M30" s="3"/>
      <c r="N30" s="3"/>
    </row>
    <row r="31" customFormat="false" ht="15" hidden="false" customHeight="false" outlineLevel="0" collapsed="false">
      <c r="A31" s="2" t="n">
        <v>30</v>
      </c>
      <c r="B31" s="2" t="s">
        <v>145</v>
      </c>
      <c r="C31" s="2" t="s">
        <v>110</v>
      </c>
      <c r="D31" s="2" t="s">
        <v>28</v>
      </c>
      <c r="E31" s="2" t="s">
        <v>146</v>
      </c>
      <c r="F31" s="2" t="s">
        <v>147</v>
      </c>
      <c r="G31" s="2"/>
      <c r="H31" s="2" t="s">
        <v>103</v>
      </c>
      <c r="I31" s="2" t="s">
        <v>136</v>
      </c>
      <c r="J31" s="3" t="s">
        <v>22</v>
      </c>
      <c r="K31" s="3"/>
      <c r="L31" s="3"/>
      <c r="M31" s="3"/>
      <c r="N31" s="3"/>
    </row>
    <row r="32" customFormat="false" ht="15" hidden="false" customHeight="false" outlineLevel="0" collapsed="false">
      <c r="A32" s="2" t="n">
        <v>31</v>
      </c>
      <c r="B32" s="2" t="s">
        <v>148</v>
      </c>
      <c r="C32" s="2" t="s">
        <v>110</v>
      </c>
      <c r="D32" s="2" t="s">
        <v>28</v>
      </c>
      <c r="E32" s="2" t="s">
        <v>149</v>
      </c>
      <c r="F32" s="2" t="s">
        <v>150</v>
      </c>
      <c r="G32" s="2"/>
      <c r="H32" s="2" t="s">
        <v>103</v>
      </c>
      <c r="I32" s="2" t="s">
        <v>151</v>
      </c>
      <c r="J32" s="3" t="s">
        <v>22</v>
      </c>
      <c r="K32" s="3"/>
      <c r="L32" s="3"/>
      <c r="M32" s="3"/>
      <c r="N32" s="3"/>
    </row>
    <row r="33" customFormat="false" ht="15" hidden="false" customHeight="false" outlineLevel="0" collapsed="false">
      <c r="A33" s="2" t="n">
        <v>32</v>
      </c>
      <c r="B33" s="2" t="s">
        <v>152</v>
      </c>
      <c r="C33" s="2" t="s">
        <v>110</v>
      </c>
      <c r="D33" s="2" t="s">
        <v>153</v>
      </c>
      <c r="E33" s="2" t="s">
        <v>154</v>
      </c>
      <c r="F33" s="2" t="s">
        <v>155</v>
      </c>
      <c r="G33" s="2" t="s">
        <v>156</v>
      </c>
      <c r="H33" s="2" t="s">
        <v>50</v>
      </c>
      <c r="I33" s="2" t="s">
        <v>157</v>
      </c>
      <c r="J33" s="3" t="s">
        <v>22</v>
      </c>
      <c r="K33" s="3"/>
      <c r="L33" s="3"/>
      <c r="M33" s="3"/>
      <c r="N33" s="3"/>
    </row>
    <row r="34" customFormat="false" ht="23.85" hidden="false" customHeight="false" outlineLevel="0" collapsed="false">
      <c r="A34" s="2" t="n">
        <v>33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s">
        <v>162</v>
      </c>
      <c r="G34" s="2" t="s">
        <v>163</v>
      </c>
      <c r="H34" s="2" t="s">
        <v>20</v>
      </c>
      <c r="I34" s="2" t="s">
        <v>164</v>
      </c>
      <c r="J34" s="3" t="s">
        <v>22</v>
      </c>
      <c r="K34" s="3"/>
      <c r="L34" s="3"/>
      <c r="M34" s="3"/>
      <c r="N34" s="3"/>
    </row>
    <row r="35" customFormat="false" ht="15" hidden="false" customHeight="false" outlineLevel="0" collapsed="false">
      <c r="A35" s="2" t="n">
        <v>34</v>
      </c>
      <c r="B35" s="2" t="s">
        <v>165</v>
      </c>
      <c r="C35" s="2" t="s">
        <v>159</v>
      </c>
      <c r="D35" s="2" t="s">
        <v>166</v>
      </c>
      <c r="E35" s="2" t="s">
        <v>161</v>
      </c>
      <c r="F35" s="2"/>
      <c r="G35" s="2" t="s">
        <v>167</v>
      </c>
      <c r="H35" s="2" t="s">
        <v>50</v>
      </c>
      <c r="I35" s="2" t="s">
        <v>168</v>
      </c>
      <c r="J35" s="3" t="s">
        <v>22</v>
      </c>
      <c r="K35" s="3"/>
      <c r="L35" s="3"/>
      <c r="M35" s="3"/>
      <c r="N35" s="3"/>
    </row>
    <row r="36" customFormat="false" ht="15" hidden="false" customHeight="false" outlineLevel="0" collapsed="false">
      <c r="A36" s="2" t="n">
        <v>35</v>
      </c>
      <c r="B36" s="2" t="s">
        <v>169</v>
      </c>
      <c r="C36" s="2" t="s">
        <v>159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20</v>
      </c>
      <c r="I36" s="2" t="s">
        <v>174</v>
      </c>
      <c r="J36" s="3" t="s">
        <v>22</v>
      </c>
      <c r="K36" s="3"/>
      <c r="L36" s="3"/>
      <c r="M36" s="3"/>
      <c r="N36" s="3"/>
    </row>
    <row r="37" customFormat="false" ht="23.85" hidden="false" customHeight="false" outlineLevel="0" collapsed="false">
      <c r="A37" s="2" t="n">
        <v>36</v>
      </c>
      <c r="B37" s="2" t="s">
        <v>175</v>
      </c>
      <c r="C37" s="2" t="s">
        <v>159</v>
      </c>
      <c r="D37" s="2" t="s">
        <v>176</v>
      </c>
      <c r="E37" s="2" t="s">
        <v>177</v>
      </c>
      <c r="F37" s="2" t="s">
        <v>178</v>
      </c>
      <c r="G37" s="2" t="s">
        <v>179</v>
      </c>
      <c r="H37" s="2" t="s">
        <v>20</v>
      </c>
      <c r="I37" s="2" t="s">
        <v>180</v>
      </c>
      <c r="J37" s="3" t="s">
        <v>22</v>
      </c>
      <c r="K37" s="3"/>
      <c r="L37" s="3"/>
      <c r="M37" s="3"/>
      <c r="N37" s="3"/>
    </row>
    <row r="38" customFormat="false" ht="15" hidden="false" customHeight="false" outlineLevel="0" collapsed="false">
      <c r="A38" s="2" t="n">
        <v>37</v>
      </c>
      <c r="B38" s="2" t="s">
        <v>181</v>
      </c>
      <c r="C38" s="2" t="s">
        <v>159</v>
      </c>
      <c r="D38" s="2" t="s">
        <v>176</v>
      </c>
      <c r="E38" s="2" t="s">
        <v>182</v>
      </c>
      <c r="F38" s="2" t="s">
        <v>183</v>
      </c>
      <c r="G38" s="2" t="s">
        <v>184</v>
      </c>
      <c r="H38" s="2" t="s">
        <v>50</v>
      </c>
      <c r="I38" s="2"/>
      <c r="J38" s="3" t="s">
        <v>22</v>
      </c>
      <c r="K38" s="3"/>
      <c r="L38" s="3"/>
      <c r="M38" s="3"/>
      <c r="N38" s="3"/>
    </row>
    <row r="39" customFormat="false" ht="15" hidden="false" customHeight="false" outlineLevel="0" collapsed="false">
      <c r="A39" s="2" t="n">
        <v>38</v>
      </c>
      <c r="B39" s="2" t="s">
        <v>185</v>
      </c>
      <c r="C39" s="2" t="s">
        <v>159</v>
      </c>
      <c r="D39" s="2" t="s">
        <v>166</v>
      </c>
      <c r="E39" s="2" t="s">
        <v>186</v>
      </c>
      <c r="F39" s="2" t="s">
        <v>187</v>
      </c>
      <c r="G39" s="2" t="s">
        <v>188</v>
      </c>
      <c r="H39" s="2" t="s">
        <v>50</v>
      </c>
      <c r="I39" s="2" t="s">
        <v>189</v>
      </c>
      <c r="J39" s="3" t="s">
        <v>22</v>
      </c>
      <c r="K39" s="3"/>
      <c r="L39" s="3"/>
      <c r="M39" s="3"/>
      <c r="N39" s="3"/>
    </row>
    <row r="40" customFormat="false" ht="15" hidden="false" customHeight="false" outlineLevel="0" collapsed="false">
      <c r="A40" s="2" t="n">
        <v>39</v>
      </c>
      <c r="B40" s="2" t="s">
        <v>190</v>
      </c>
      <c r="C40" s="2" t="s">
        <v>159</v>
      </c>
      <c r="D40" s="2" t="s">
        <v>191</v>
      </c>
      <c r="E40" s="2" t="s">
        <v>192</v>
      </c>
      <c r="F40" s="2" t="s">
        <v>193</v>
      </c>
      <c r="G40" s="2" t="s">
        <v>194</v>
      </c>
      <c r="H40" s="2" t="s">
        <v>50</v>
      </c>
      <c r="I40" s="2"/>
      <c r="J40" s="3" t="s">
        <v>22</v>
      </c>
      <c r="K40" s="3"/>
      <c r="L40" s="3"/>
      <c r="M40" s="3"/>
      <c r="N40" s="3"/>
    </row>
    <row r="41" customFormat="false" ht="23.85" hidden="false" customHeight="false" outlineLevel="0" collapsed="false">
      <c r="A41" s="2" t="n">
        <v>40</v>
      </c>
      <c r="B41" s="2" t="s">
        <v>195</v>
      </c>
      <c r="C41" s="2" t="s">
        <v>159</v>
      </c>
      <c r="D41" s="2" t="s">
        <v>176</v>
      </c>
      <c r="E41" s="2" t="s">
        <v>196</v>
      </c>
      <c r="F41" s="2" t="s">
        <v>197</v>
      </c>
      <c r="G41" s="2" t="s">
        <v>198</v>
      </c>
      <c r="H41" s="2" t="s">
        <v>20</v>
      </c>
      <c r="I41" s="2" t="s">
        <v>199</v>
      </c>
      <c r="J41" s="3" t="s">
        <v>22</v>
      </c>
      <c r="K41" s="3"/>
      <c r="L41" s="3"/>
      <c r="M41" s="3"/>
      <c r="N41" s="3"/>
    </row>
    <row r="42" customFormat="false" ht="15" hidden="false" customHeight="false" outlineLevel="0" collapsed="false">
      <c r="A42" s="2" t="n">
        <v>41</v>
      </c>
      <c r="B42" s="2" t="s">
        <v>200</v>
      </c>
      <c r="C42" s="2" t="s">
        <v>159</v>
      </c>
      <c r="D42" s="2" t="s">
        <v>170</v>
      </c>
      <c r="E42" s="2" t="s">
        <v>201</v>
      </c>
      <c r="F42" s="2" t="s">
        <v>202</v>
      </c>
      <c r="G42" s="2" t="s">
        <v>203</v>
      </c>
      <c r="H42" s="2" t="s">
        <v>20</v>
      </c>
      <c r="I42" s="2" t="s">
        <v>204</v>
      </c>
      <c r="J42" s="3" t="s">
        <v>22</v>
      </c>
      <c r="K42" s="3"/>
      <c r="L42" s="3"/>
      <c r="M42" s="3"/>
      <c r="N42" s="3"/>
    </row>
    <row r="43" customFormat="false" ht="15" hidden="false" customHeight="false" outlineLevel="0" collapsed="false">
      <c r="A43" s="2" t="n">
        <v>42</v>
      </c>
      <c r="B43" s="2" t="s">
        <v>205</v>
      </c>
      <c r="C43" s="2" t="s">
        <v>159</v>
      </c>
      <c r="D43" s="2" t="s">
        <v>170</v>
      </c>
      <c r="E43" s="2" t="s">
        <v>201</v>
      </c>
      <c r="F43" s="2" t="s">
        <v>202</v>
      </c>
      <c r="G43" s="2" t="s">
        <v>206</v>
      </c>
      <c r="H43" s="2" t="s">
        <v>20</v>
      </c>
      <c r="I43" s="2" t="s">
        <v>207</v>
      </c>
      <c r="J43" s="3" t="s">
        <v>22</v>
      </c>
      <c r="K43" s="3"/>
      <c r="L43" s="3"/>
      <c r="M43" s="3"/>
      <c r="N43" s="3"/>
    </row>
    <row r="44" customFormat="false" ht="15" hidden="false" customHeight="false" outlineLevel="0" collapsed="false">
      <c r="A44" s="2" t="n">
        <v>43</v>
      </c>
      <c r="B44" s="2" t="s">
        <v>208</v>
      </c>
      <c r="C44" s="2" t="s">
        <v>159</v>
      </c>
      <c r="D44" s="2" t="s">
        <v>191</v>
      </c>
      <c r="E44" s="2" t="s">
        <v>201</v>
      </c>
      <c r="F44" s="2" t="s">
        <v>209</v>
      </c>
      <c r="G44" s="2"/>
      <c r="H44" s="2" t="s">
        <v>50</v>
      </c>
      <c r="I44" s="2" t="s">
        <v>210</v>
      </c>
      <c r="J44" s="3" t="s">
        <v>22</v>
      </c>
      <c r="K44" s="3"/>
      <c r="L44" s="3"/>
      <c r="M44" s="3"/>
      <c r="N44" s="3"/>
    </row>
    <row r="45" customFormat="false" ht="15" hidden="false" customHeight="false" outlineLevel="0" collapsed="false">
      <c r="A45" s="2" t="n">
        <v>44</v>
      </c>
      <c r="B45" s="2" t="s">
        <v>211</v>
      </c>
      <c r="C45" s="2" t="s">
        <v>159</v>
      </c>
      <c r="D45" s="2" t="s">
        <v>153</v>
      </c>
      <c r="E45" s="2" t="s">
        <v>212</v>
      </c>
      <c r="F45" s="2" t="s">
        <v>213</v>
      </c>
      <c r="G45" s="2" t="s">
        <v>214</v>
      </c>
      <c r="H45" s="2" t="s">
        <v>20</v>
      </c>
      <c r="I45" s="2" t="s">
        <v>215</v>
      </c>
      <c r="J45" s="3" t="s">
        <v>22</v>
      </c>
      <c r="K45" s="3"/>
      <c r="L45" s="3"/>
      <c r="M45" s="3"/>
      <c r="N45" s="3"/>
    </row>
    <row r="46" customFormat="false" ht="15" hidden="false" customHeight="false" outlineLevel="0" collapsed="false">
      <c r="A46" s="2" t="n">
        <v>45</v>
      </c>
      <c r="B46" s="2" t="s">
        <v>216</v>
      </c>
      <c r="C46" s="2" t="s">
        <v>159</v>
      </c>
      <c r="D46" s="2" t="s">
        <v>130</v>
      </c>
      <c r="E46" s="2" t="s">
        <v>217</v>
      </c>
      <c r="F46" s="2" t="s">
        <v>213</v>
      </c>
      <c r="G46" s="2" t="s">
        <v>218</v>
      </c>
      <c r="H46" s="2" t="s">
        <v>50</v>
      </c>
      <c r="I46" s="2" t="s">
        <v>219</v>
      </c>
      <c r="J46" s="3" t="s">
        <v>22</v>
      </c>
      <c r="K46" s="3"/>
      <c r="L46" s="3"/>
      <c r="M46" s="3"/>
      <c r="N46" s="3"/>
    </row>
    <row r="47" customFormat="false" ht="15" hidden="false" customHeight="false" outlineLevel="0" collapsed="false">
      <c r="A47" s="2" t="n">
        <v>46</v>
      </c>
      <c r="B47" s="2" t="s">
        <v>220</v>
      </c>
      <c r="C47" s="2" t="s">
        <v>159</v>
      </c>
      <c r="D47" s="2" t="s">
        <v>166</v>
      </c>
      <c r="E47" s="2" t="s">
        <v>221</v>
      </c>
      <c r="F47" s="2" t="s">
        <v>222</v>
      </c>
      <c r="G47" s="2"/>
      <c r="H47" s="2" t="s">
        <v>50</v>
      </c>
      <c r="I47" s="2"/>
      <c r="J47" s="3" t="s">
        <v>22</v>
      </c>
      <c r="K47" s="3"/>
      <c r="L47" s="3"/>
      <c r="M47" s="3"/>
      <c r="N47" s="3"/>
    </row>
    <row r="48" customFormat="false" ht="15" hidden="false" customHeight="false" outlineLevel="0" collapsed="false">
      <c r="A48" s="2" t="n">
        <v>47</v>
      </c>
      <c r="B48" s="2" t="s">
        <v>223</v>
      </c>
      <c r="C48" s="2" t="s">
        <v>159</v>
      </c>
      <c r="D48" s="2" t="s">
        <v>176</v>
      </c>
      <c r="E48" s="2" t="s">
        <v>224</v>
      </c>
      <c r="F48" s="2" t="s">
        <v>225</v>
      </c>
      <c r="G48" s="2" t="s">
        <v>226</v>
      </c>
      <c r="H48" s="2" t="s">
        <v>50</v>
      </c>
      <c r="I48" s="2"/>
      <c r="J48" s="3" t="s">
        <v>22</v>
      </c>
      <c r="K48" s="3"/>
      <c r="L48" s="3"/>
      <c r="M48" s="3"/>
      <c r="N48" s="3"/>
    </row>
    <row r="49" customFormat="false" ht="23.85" hidden="false" customHeight="false" outlineLevel="0" collapsed="false">
      <c r="A49" s="2" t="n">
        <v>48</v>
      </c>
      <c r="B49" s="2" t="s">
        <v>227</v>
      </c>
      <c r="C49" s="2" t="s">
        <v>159</v>
      </c>
      <c r="D49" s="2" t="s">
        <v>191</v>
      </c>
      <c r="E49" s="2" t="s">
        <v>228</v>
      </c>
      <c r="F49" s="2" t="s">
        <v>229</v>
      </c>
      <c r="G49" s="2" t="s">
        <v>230</v>
      </c>
      <c r="H49" s="2" t="s">
        <v>50</v>
      </c>
      <c r="I49" s="2" t="s">
        <v>231</v>
      </c>
      <c r="J49" s="3" t="s">
        <v>22</v>
      </c>
      <c r="K49" s="3"/>
      <c r="L49" s="3"/>
      <c r="M49" s="3"/>
      <c r="N49" s="3"/>
    </row>
    <row r="50" customFormat="false" ht="15" hidden="false" customHeight="false" outlineLevel="0" collapsed="false">
      <c r="A50" s="2" t="n">
        <v>49</v>
      </c>
      <c r="B50" s="2" t="s">
        <v>232</v>
      </c>
      <c r="C50" s="2" t="s">
        <v>159</v>
      </c>
      <c r="D50" s="2" t="s">
        <v>191</v>
      </c>
      <c r="E50" s="2" t="s">
        <v>233</v>
      </c>
      <c r="F50" s="2" t="s">
        <v>234</v>
      </c>
      <c r="G50" s="2"/>
      <c r="H50" s="2" t="s">
        <v>50</v>
      </c>
      <c r="I50" s="2" t="s">
        <v>235</v>
      </c>
      <c r="J50" s="3" t="s">
        <v>22</v>
      </c>
      <c r="K50" s="3"/>
      <c r="L50" s="3"/>
      <c r="M50" s="3"/>
      <c r="N50" s="3"/>
    </row>
    <row r="51" customFormat="false" ht="15" hidden="false" customHeight="false" outlineLevel="0" collapsed="false">
      <c r="A51" s="2" t="n">
        <v>50</v>
      </c>
      <c r="B51" s="2" t="s">
        <v>236</v>
      </c>
      <c r="C51" s="2" t="s">
        <v>159</v>
      </c>
      <c r="D51" s="2" t="s">
        <v>237</v>
      </c>
      <c r="E51" s="2" t="s">
        <v>238</v>
      </c>
      <c r="F51" s="2" t="s">
        <v>239</v>
      </c>
      <c r="G51" s="2"/>
      <c r="H51" s="2" t="s">
        <v>103</v>
      </c>
      <c r="I51" s="2" t="s">
        <v>240</v>
      </c>
      <c r="J51" s="3" t="s">
        <v>22</v>
      </c>
      <c r="K51" s="3"/>
      <c r="L51" s="3"/>
      <c r="M51" s="3"/>
      <c r="N51" s="3"/>
    </row>
    <row r="52" customFormat="false" ht="15" hidden="false" customHeight="false" outlineLevel="0" collapsed="false">
      <c r="A52" s="2" t="n">
        <v>51</v>
      </c>
      <c r="B52" s="2" t="s">
        <v>241</v>
      </c>
      <c r="C52" s="2" t="s">
        <v>159</v>
      </c>
      <c r="D52" s="2" t="s">
        <v>237</v>
      </c>
      <c r="E52" s="2" t="s">
        <v>242</v>
      </c>
      <c r="F52" s="2" t="s">
        <v>243</v>
      </c>
      <c r="G52" s="2"/>
      <c r="H52" s="2" t="s">
        <v>103</v>
      </c>
      <c r="I52" s="2" t="s">
        <v>244</v>
      </c>
      <c r="J52" s="3" t="s">
        <v>22</v>
      </c>
      <c r="K52" s="3"/>
      <c r="L52" s="3"/>
      <c r="M52" s="3"/>
      <c r="N52" s="3"/>
    </row>
    <row r="53" customFormat="false" ht="15" hidden="false" customHeight="false" outlineLevel="0" collapsed="false">
      <c r="A53" s="2" t="n">
        <v>52</v>
      </c>
      <c r="B53" s="2" t="s">
        <v>245</v>
      </c>
      <c r="C53" s="2" t="s">
        <v>159</v>
      </c>
      <c r="D53" s="2" t="s">
        <v>166</v>
      </c>
      <c r="E53" s="2" t="s">
        <v>246</v>
      </c>
      <c r="F53" s="2" t="s">
        <v>247</v>
      </c>
      <c r="G53" s="2"/>
      <c r="H53" s="2" t="s">
        <v>103</v>
      </c>
      <c r="I53" s="2" t="s">
        <v>248</v>
      </c>
      <c r="J53" s="3" t="s">
        <v>22</v>
      </c>
      <c r="K53" s="3"/>
      <c r="L53" s="3"/>
      <c r="M53" s="3"/>
      <c r="N53" s="3"/>
    </row>
    <row r="54" customFormat="false" ht="15" hidden="false" customHeight="false" outlineLevel="0" collapsed="false">
      <c r="A54" s="2" t="n">
        <v>53</v>
      </c>
      <c r="B54" s="2" t="s">
        <v>249</v>
      </c>
      <c r="C54" s="2" t="s">
        <v>159</v>
      </c>
      <c r="D54" s="2" t="s">
        <v>250</v>
      </c>
      <c r="E54" s="2" t="s">
        <v>251</v>
      </c>
      <c r="F54" s="2" t="s">
        <v>252</v>
      </c>
      <c r="G54" s="2"/>
      <c r="H54" s="2" t="s">
        <v>50</v>
      </c>
      <c r="I54" s="2"/>
      <c r="J54" s="3" t="s">
        <v>22</v>
      </c>
      <c r="K54" s="3"/>
      <c r="L54" s="3"/>
      <c r="M54" s="3"/>
      <c r="N54" s="3"/>
    </row>
    <row r="55" customFormat="false" ht="15" hidden="false" customHeight="false" outlineLevel="0" collapsed="false">
      <c r="A55" s="2" t="n">
        <v>54</v>
      </c>
      <c r="B55" s="2" t="s">
        <v>253</v>
      </c>
      <c r="C55" s="2" t="s">
        <v>159</v>
      </c>
      <c r="D55" s="2" t="s">
        <v>237</v>
      </c>
      <c r="E55" s="2" t="s">
        <v>254</v>
      </c>
      <c r="F55" s="2" t="s">
        <v>255</v>
      </c>
      <c r="G55" s="2"/>
      <c r="H55" s="2" t="s">
        <v>103</v>
      </c>
      <c r="I55" s="2"/>
      <c r="J55" s="3" t="s">
        <v>22</v>
      </c>
      <c r="K55" s="3"/>
      <c r="L55" s="3"/>
      <c r="M55" s="3"/>
      <c r="N55" s="3"/>
    </row>
    <row r="56" customFormat="false" ht="23.85" hidden="false" customHeight="false" outlineLevel="0" collapsed="false">
      <c r="A56" s="2" t="n">
        <v>55</v>
      </c>
      <c r="B56" s="2" t="s">
        <v>256</v>
      </c>
      <c r="C56" s="2" t="s">
        <v>257</v>
      </c>
      <c r="D56" s="2" t="s">
        <v>153</v>
      </c>
      <c r="E56" s="2" t="s">
        <v>258</v>
      </c>
      <c r="F56" s="2" t="s">
        <v>259</v>
      </c>
      <c r="G56" s="2" t="s">
        <v>260</v>
      </c>
      <c r="H56" s="2" t="s">
        <v>20</v>
      </c>
      <c r="I56" s="2" t="s">
        <v>261</v>
      </c>
      <c r="J56" s="3" t="s">
        <v>22</v>
      </c>
      <c r="K56" s="3"/>
      <c r="L56" s="3"/>
      <c r="M56" s="3"/>
      <c r="N56" s="3"/>
    </row>
    <row r="57" customFormat="false" ht="15" hidden="false" customHeight="false" outlineLevel="0" collapsed="false">
      <c r="A57" s="2" t="n">
        <v>56</v>
      </c>
      <c r="B57" s="2" t="s">
        <v>262</v>
      </c>
      <c r="C57" s="2" t="s">
        <v>257</v>
      </c>
      <c r="D57" s="2" t="s">
        <v>16</v>
      </c>
      <c r="E57" s="2" t="s">
        <v>263</v>
      </c>
      <c r="F57" s="2" t="s">
        <v>264</v>
      </c>
      <c r="G57" s="2" t="s">
        <v>265</v>
      </c>
      <c r="H57" s="2" t="s">
        <v>20</v>
      </c>
      <c r="I57" s="2" t="s">
        <v>266</v>
      </c>
      <c r="J57" s="3" t="s">
        <v>22</v>
      </c>
      <c r="K57" s="3"/>
      <c r="L57" s="3"/>
      <c r="M57" s="3"/>
      <c r="N57" s="3"/>
    </row>
    <row r="58" customFormat="false" ht="15" hidden="false" customHeight="false" outlineLevel="0" collapsed="false">
      <c r="A58" s="2" t="n">
        <v>57</v>
      </c>
      <c r="B58" s="2" t="s">
        <v>267</v>
      </c>
      <c r="C58" s="2" t="s">
        <v>257</v>
      </c>
      <c r="D58" s="2" t="s">
        <v>16</v>
      </c>
      <c r="E58" s="2" t="s">
        <v>268</v>
      </c>
      <c r="F58" s="2" t="s">
        <v>269</v>
      </c>
      <c r="G58" s="2"/>
      <c r="H58" s="2" t="s">
        <v>50</v>
      </c>
      <c r="I58" s="2" t="s">
        <v>270</v>
      </c>
      <c r="J58" s="3" t="s">
        <v>22</v>
      </c>
      <c r="K58" s="3"/>
      <c r="L58" s="3"/>
      <c r="M58" s="3"/>
      <c r="N58" s="3"/>
    </row>
    <row r="59" customFormat="false" ht="15" hidden="false" customHeight="false" outlineLevel="0" collapsed="false">
      <c r="A59" s="2" t="n">
        <v>58</v>
      </c>
      <c r="B59" s="2" t="s">
        <v>271</v>
      </c>
      <c r="C59" s="2" t="s">
        <v>272</v>
      </c>
      <c r="D59" s="2" t="s">
        <v>166</v>
      </c>
      <c r="E59" s="2" t="s">
        <v>273</v>
      </c>
      <c r="F59" s="2" t="s">
        <v>274</v>
      </c>
      <c r="G59" s="2" t="s">
        <v>275</v>
      </c>
      <c r="H59" s="2" t="s">
        <v>50</v>
      </c>
      <c r="I59" s="2" t="s">
        <v>276</v>
      </c>
      <c r="J59" s="3" t="s">
        <v>22</v>
      </c>
      <c r="K59" s="3"/>
      <c r="L59" s="3"/>
      <c r="M59" s="3"/>
      <c r="N59" s="3"/>
    </row>
    <row r="60" customFormat="false" ht="15" hidden="false" customHeight="false" outlineLevel="0" collapsed="false">
      <c r="A60" s="2" t="n">
        <v>59</v>
      </c>
      <c r="B60" s="2" t="s">
        <v>277</v>
      </c>
      <c r="C60" s="2" t="s">
        <v>272</v>
      </c>
      <c r="D60" s="2" t="s">
        <v>166</v>
      </c>
      <c r="E60" s="2" t="s">
        <v>278</v>
      </c>
      <c r="F60" s="2" t="s">
        <v>279</v>
      </c>
      <c r="G60" s="2"/>
      <c r="H60" s="2" t="s">
        <v>50</v>
      </c>
      <c r="I60" s="2" t="s">
        <v>280</v>
      </c>
      <c r="J60" s="3" t="s">
        <v>22</v>
      </c>
      <c r="K60" s="3"/>
      <c r="L60" s="3"/>
      <c r="M60" s="3"/>
      <c r="N60" s="3"/>
    </row>
    <row r="61" customFormat="false" ht="23.85" hidden="false" customHeight="false" outlineLevel="0" collapsed="false">
      <c r="A61" s="2" t="n">
        <v>60</v>
      </c>
      <c r="B61" s="2" t="s">
        <v>281</v>
      </c>
      <c r="C61" s="2" t="s">
        <v>272</v>
      </c>
      <c r="D61" s="2" t="s">
        <v>237</v>
      </c>
      <c r="E61" s="2" t="s">
        <v>282</v>
      </c>
      <c r="F61" s="2" t="s">
        <v>283</v>
      </c>
      <c r="G61" s="2"/>
      <c r="H61" s="2" t="s">
        <v>50</v>
      </c>
      <c r="I61" s="2" t="s">
        <v>284</v>
      </c>
      <c r="J61" s="3" t="s">
        <v>22</v>
      </c>
      <c r="K61" s="3"/>
      <c r="L61" s="3"/>
      <c r="M61" s="3"/>
      <c r="N61" s="3"/>
    </row>
    <row r="62" customFormat="false" ht="15" hidden="false" customHeight="false" outlineLevel="0" collapsed="false">
      <c r="A62" s="2" t="n">
        <v>61</v>
      </c>
      <c r="B62" s="2" t="s">
        <v>285</v>
      </c>
      <c r="C62" s="2" t="s">
        <v>272</v>
      </c>
      <c r="D62" s="2" t="s">
        <v>286</v>
      </c>
      <c r="E62" s="2" t="s">
        <v>287</v>
      </c>
      <c r="F62" s="2" t="s">
        <v>288</v>
      </c>
      <c r="G62" s="2"/>
      <c r="H62" s="2" t="s">
        <v>50</v>
      </c>
      <c r="I62" s="2" t="s">
        <v>289</v>
      </c>
      <c r="J62" s="3" t="s">
        <v>22</v>
      </c>
      <c r="K62" s="3"/>
      <c r="L62" s="3"/>
      <c r="M62" s="3"/>
      <c r="N62" s="3"/>
    </row>
    <row r="63" customFormat="false" ht="15" hidden="false" customHeight="false" outlineLevel="0" collapsed="false">
      <c r="A63" s="2" t="n">
        <v>62</v>
      </c>
      <c r="B63" s="2" t="s">
        <v>290</v>
      </c>
      <c r="C63" s="2" t="s">
        <v>272</v>
      </c>
      <c r="D63" s="2" t="s">
        <v>291</v>
      </c>
      <c r="E63" s="2" t="s">
        <v>292</v>
      </c>
      <c r="F63" s="2" t="s">
        <v>293</v>
      </c>
      <c r="G63" s="2"/>
      <c r="H63" s="2" t="s">
        <v>50</v>
      </c>
      <c r="I63" s="2" t="s">
        <v>294</v>
      </c>
      <c r="J63" s="3" t="s">
        <v>22</v>
      </c>
      <c r="K63" s="3"/>
      <c r="L63" s="3"/>
      <c r="M63" s="3"/>
      <c r="N63" s="3"/>
    </row>
    <row r="64" customFormat="false" ht="15" hidden="false" customHeight="false" outlineLevel="0" collapsed="false">
      <c r="A64" s="2" t="n">
        <v>63</v>
      </c>
      <c r="B64" s="2" t="s">
        <v>295</v>
      </c>
      <c r="C64" s="2" t="s">
        <v>272</v>
      </c>
      <c r="D64" s="2" t="s">
        <v>296</v>
      </c>
      <c r="E64" s="2" t="s">
        <v>297</v>
      </c>
      <c r="F64" s="2" t="s">
        <v>298</v>
      </c>
      <c r="G64" s="2"/>
      <c r="H64" s="2" t="s">
        <v>20</v>
      </c>
      <c r="I64" s="2" t="s">
        <v>299</v>
      </c>
      <c r="J64" s="3" t="s">
        <v>22</v>
      </c>
      <c r="K64" s="3"/>
      <c r="L64" s="3"/>
      <c r="M64" s="3"/>
      <c r="N64" s="3"/>
    </row>
    <row r="65" customFormat="false" ht="15" hidden="false" customHeight="false" outlineLevel="0" collapsed="false">
      <c r="A65" s="2" t="n">
        <v>64</v>
      </c>
      <c r="B65" s="2" t="s">
        <v>300</v>
      </c>
      <c r="C65" s="2" t="s">
        <v>272</v>
      </c>
      <c r="D65" s="2" t="s">
        <v>291</v>
      </c>
      <c r="E65" s="2" t="s">
        <v>301</v>
      </c>
      <c r="F65" s="2" t="s">
        <v>302</v>
      </c>
      <c r="G65" s="2" t="s">
        <v>303</v>
      </c>
      <c r="H65" s="2" t="s">
        <v>50</v>
      </c>
      <c r="I65" s="2"/>
      <c r="J65" s="3" t="s">
        <v>22</v>
      </c>
      <c r="K65" s="3"/>
      <c r="L65" s="3"/>
      <c r="M65" s="3"/>
      <c r="N65" s="3"/>
    </row>
    <row r="66" customFormat="false" ht="15" hidden="false" customHeight="false" outlineLevel="0" collapsed="false">
      <c r="A66" s="2" t="n">
        <v>65</v>
      </c>
      <c r="B66" s="2" t="s">
        <v>304</v>
      </c>
      <c r="C66" s="2" t="s">
        <v>272</v>
      </c>
      <c r="D66" s="2" t="s">
        <v>291</v>
      </c>
      <c r="E66" s="2" t="s">
        <v>305</v>
      </c>
      <c r="F66" s="2" t="s">
        <v>306</v>
      </c>
      <c r="G66" s="2"/>
      <c r="H66" s="2" t="s">
        <v>103</v>
      </c>
      <c r="I66" s="2" t="s">
        <v>307</v>
      </c>
      <c r="J66" s="3" t="s">
        <v>22</v>
      </c>
      <c r="K66" s="3"/>
      <c r="L66" s="3"/>
      <c r="M66" s="3"/>
      <c r="N66" s="3"/>
    </row>
    <row r="67" customFormat="false" ht="15" hidden="false" customHeight="false" outlineLevel="0" collapsed="false">
      <c r="A67" s="2" t="n">
        <v>66</v>
      </c>
      <c r="B67" s="2" t="s">
        <v>308</v>
      </c>
      <c r="C67" s="2" t="s">
        <v>272</v>
      </c>
      <c r="D67" s="2" t="s">
        <v>291</v>
      </c>
      <c r="E67" s="2" t="s">
        <v>77</v>
      </c>
      <c r="F67" s="2" t="s">
        <v>309</v>
      </c>
      <c r="G67" s="2"/>
      <c r="H67" s="2" t="s">
        <v>50</v>
      </c>
      <c r="I67" s="2" t="s">
        <v>310</v>
      </c>
      <c r="J67" s="3" t="s">
        <v>22</v>
      </c>
      <c r="K67" s="3"/>
      <c r="L67" s="3"/>
      <c r="M67" s="3"/>
      <c r="N67" s="3"/>
    </row>
    <row r="68" customFormat="false" ht="15" hidden="false" customHeight="false" outlineLevel="0" collapsed="false">
      <c r="A68" s="2" t="n">
        <v>67</v>
      </c>
      <c r="B68" s="2" t="s">
        <v>311</v>
      </c>
      <c r="C68" s="2" t="s">
        <v>272</v>
      </c>
      <c r="D68" s="2" t="s">
        <v>291</v>
      </c>
      <c r="E68" s="2" t="s">
        <v>312</v>
      </c>
      <c r="F68" s="2" t="s">
        <v>313</v>
      </c>
      <c r="G68" s="2"/>
      <c r="H68" s="2" t="s">
        <v>103</v>
      </c>
      <c r="I68" s="2" t="s">
        <v>314</v>
      </c>
      <c r="J68" s="3" t="s">
        <v>22</v>
      </c>
      <c r="K68" s="3"/>
      <c r="L68" s="3"/>
      <c r="M68" s="3"/>
      <c r="N68" s="3"/>
    </row>
    <row r="69" customFormat="false" ht="15" hidden="false" customHeight="false" outlineLevel="0" collapsed="false">
      <c r="A69" s="2" t="n">
        <v>68</v>
      </c>
      <c r="B69" s="2" t="s">
        <v>315</v>
      </c>
      <c r="C69" s="2" t="s">
        <v>272</v>
      </c>
      <c r="D69" s="2" t="s">
        <v>291</v>
      </c>
      <c r="E69" s="2" t="s">
        <v>316</v>
      </c>
      <c r="F69" s="2" t="s">
        <v>317</v>
      </c>
      <c r="G69" s="2"/>
      <c r="H69" s="2" t="s">
        <v>103</v>
      </c>
      <c r="I69" s="2" t="s">
        <v>318</v>
      </c>
      <c r="J69" s="3" t="s">
        <v>22</v>
      </c>
      <c r="K69" s="3"/>
      <c r="L69" s="3"/>
      <c r="M69" s="3"/>
      <c r="N69" s="3"/>
    </row>
    <row r="70" customFormat="false" ht="15" hidden="false" customHeight="false" outlineLevel="0" collapsed="false">
      <c r="A70" s="2" t="n">
        <v>69</v>
      </c>
      <c r="B70" s="2" t="s">
        <v>319</v>
      </c>
      <c r="C70" s="2" t="s">
        <v>272</v>
      </c>
      <c r="D70" s="2" t="s">
        <v>291</v>
      </c>
      <c r="E70" s="2" t="s">
        <v>320</v>
      </c>
      <c r="F70" s="2" t="s">
        <v>321</v>
      </c>
      <c r="G70" s="2"/>
      <c r="H70" s="2" t="s">
        <v>103</v>
      </c>
      <c r="I70" s="2" t="s">
        <v>318</v>
      </c>
      <c r="J70" s="3" t="s">
        <v>22</v>
      </c>
      <c r="K70" s="3"/>
      <c r="L70" s="3"/>
      <c r="M70" s="3"/>
      <c r="N70" s="3"/>
    </row>
    <row r="71" customFormat="false" ht="15" hidden="false" customHeight="false" outlineLevel="0" collapsed="false">
      <c r="A71" s="2" t="n">
        <v>70</v>
      </c>
      <c r="B71" s="2" t="s">
        <v>322</v>
      </c>
      <c r="C71" s="2" t="s">
        <v>272</v>
      </c>
      <c r="D71" s="2" t="s">
        <v>286</v>
      </c>
      <c r="E71" s="2" t="s">
        <v>323</v>
      </c>
      <c r="F71" s="2" t="s">
        <v>324</v>
      </c>
      <c r="G71" s="2"/>
      <c r="H71" s="2" t="s">
        <v>103</v>
      </c>
      <c r="I71" s="2" t="s">
        <v>325</v>
      </c>
      <c r="J71" s="3" t="s">
        <v>22</v>
      </c>
      <c r="K71" s="3"/>
      <c r="L71" s="3"/>
      <c r="M71" s="3"/>
      <c r="N71" s="3"/>
    </row>
    <row r="72" customFormat="false" ht="15" hidden="false" customHeight="false" outlineLevel="0" collapsed="false">
      <c r="A72" s="2" t="n">
        <v>71</v>
      </c>
      <c r="B72" s="2" t="s">
        <v>326</v>
      </c>
      <c r="C72" s="2" t="s">
        <v>272</v>
      </c>
      <c r="D72" s="2" t="s">
        <v>291</v>
      </c>
      <c r="E72" s="2" t="s">
        <v>327</v>
      </c>
      <c r="F72" s="2" t="s">
        <v>328</v>
      </c>
      <c r="G72" s="2"/>
      <c r="H72" s="2" t="s">
        <v>50</v>
      </c>
      <c r="I72" s="2" t="s">
        <v>329</v>
      </c>
      <c r="J72" s="3" t="s">
        <v>22</v>
      </c>
      <c r="K72" s="3"/>
      <c r="L72" s="3"/>
      <c r="M72" s="3"/>
      <c r="N72" s="3"/>
    </row>
    <row r="73" customFormat="false" ht="15" hidden="false" customHeight="false" outlineLevel="0" collapsed="false">
      <c r="A73" s="2" t="n">
        <v>72</v>
      </c>
      <c r="B73" s="2" t="s">
        <v>330</v>
      </c>
      <c r="C73" s="2" t="s">
        <v>272</v>
      </c>
      <c r="D73" s="2" t="s">
        <v>291</v>
      </c>
      <c r="E73" s="2" t="s">
        <v>331</v>
      </c>
      <c r="F73" s="2" t="s">
        <v>332</v>
      </c>
      <c r="G73" s="2"/>
      <c r="H73" s="2" t="s">
        <v>103</v>
      </c>
      <c r="I73" s="2"/>
      <c r="J73" s="3" t="s">
        <v>22</v>
      </c>
      <c r="K73" s="3"/>
      <c r="L73" s="3"/>
      <c r="M73" s="3"/>
      <c r="N73" s="3"/>
    </row>
    <row r="74" customFormat="false" ht="15" hidden="false" customHeight="false" outlineLevel="0" collapsed="false">
      <c r="A74" s="2" t="n">
        <v>73</v>
      </c>
      <c r="B74" s="2" t="s">
        <v>333</v>
      </c>
      <c r="C74" s="2" t="s">
        <v>272</v>
      </c>
      <c r="D74" s="2" t="s">
        <v>291</v>
      </c>
      <c r="E74" s="2" t="s">
        <v>334</v>
      </c>
      <c r="F74" s="2" t="s">
        <v>335</v>
      </c>
      <c r="G74" s="2"/>
      <c r="H74" s="2" t="s">
        <v>103</v>
      </c>
      <c r="I74" s="2" t="s">
        <v>336</v>
      </c>
      <c r="J74" s="3" t="s">
        <v>22</v>
      </c>
      <c r="K74" s="3"/>
      <c r="L74" s="3"/>
      <c r="M74" s="3"/>
      <c r="N74" s="3"/>
    </row>
    <row r="75" customFormat="false" ht="15" hidden="false" customHeight="false" outlineLevel="0" collapsed="false">
      <c r="A75" s="2" t="n">
        <v>74</v>
      </c>
      <c r="B75" s="2" t="s">
        <v>337</v>
      </c>
      <c r="C75" s="2" t="s">
        <v>272</v>
      </c>
      <c r="D75" s="2" t="s">
        <v>166</v>
      </c>
      <c r="E75" s="2" t="s">
        <v>338</v>
      </c>
      <c r="F75" s="2" t="s">
        <v>339</v>
      </c>
      <c r="G75" s="2" t="s">
        <v>340</v>
      </c>
      <c r="H75" s="2" t="s">
        <v>50</v>
      </c>
      <c r="I75" s="2" t="s">
        <v>341</v>
      </c>
      <c r="J75" s="3" t="s">
        <v>22</v>
      </c>
      <c r="K75" s="3"/>
      <c r="L75" s="3"/>
      <c r="M75" s="3"/>
      <c r="N75" s="3"/>
    </row>
    <row r="76" customFormat="false" ht="15" hidden="false" customHeight="false" outlineLevel="0" collapsed="false">
      <c r="A76" s="2" t="n">
        <v>75</v>
      </c>
      <c r="B76" s="2" t="s">
        <v>342</v>
      </c>
      <c r="C76" s="2" t="s">
        <v>272</v>
      </c>
      <c r="D76" s="2" t="s">
        <v>237</v>
      </c>
      <c r="E76" s="2" t="s">
        <v>343</v>
      </c>
      <c r="F76" s="2" t="s">
        <v>344</v>
      </c>
      <c r="G76" s="2"/>
      <c r="H76" s="2" t="s">
        <v>50</v>
      </c>
      <c r="I76" s="2" t="s">
        <v>345</v>
      </c>
      <c r="J76" s="3" t="s">
        <v>22</v>
      </c>
      <c r="K76" s="3"/>
      <c r="L76" s="3"/>
      <c r="M76" s="3"/>
      <c r="N76" s="3"/>
    </row>
    <row r="77" customFormat="false" ht="15" hidden="false" customHeight="false" outlineLevel="0" collapsed="false">
      <c r="A77" s="2" t="n">
        <v>76</v>
      </c>
      <c r="B77" s="2" t="s">
        <v>346</v>
      </c>
      <c r="C77" s="2" t="s">
        <v>272</v>
      </c>
      <c r="D77" s="2" t="s">
        <v>347</v>
      </c>
      <c r="E77" s="2" t="s">
        <v>348</v>
      </c>
      <c r="F77" s="2" t="s">
        <v>349</v>
      </c>
      <c r="G77" s="2"/>
      <c r="H77" s="2" t="s">
        <v>50</v>
      </c>
      <c r="I77" s="2" t="s">
        <v>350</v>
      </c>
      <c r="J77" s="3" t="s">
        <v>22</v>
      </c>
      <c r="K77" s="3"/>
      <c r="L77" s="3"/>
      <c r="M77" s="3"/>
      <c r="N77" s="3"/>
    </row>
    <row r="78" customFormat="false" ht="15" hidden="false" customHeight="false" outlineLevel="0" collapsed="false">
      <c r="A78" s="2" t="n">
        <v>77</v>
      </c>
      <c r="B78" s="2" t="s">
        <v>351</v>
      </c>
      <c r="C78" s="2" t="s">
        <v>272</v>
      </c>
      <c r="D78" s="2" t="s">
        <v>237</v>
      </c>
      <c r="E78" s="2" t="s">
        <v>352</v>
      </c>
      <c r="F78" s="2" t="s">
        <v>353</v>
      </c>
      <c r="G78" s="2"/>
      <c r="H78" s="2" t="s">
        <v>50</v>
      </c>
      <c r="I78" s="2" t="s">
        <v>354</v>
      </c>
      <c r="J78" s="3" t="s">
        <v>22</v>
      </c>
      <c r="K78" s="3"/>
      <c r="L78" s="3"/>
      <c r="M78" s="3"/>
      <c r="N78" s="3"/>
    </row>
    <row r="79" customFormat="false" ht="15" hidden="false" customHeight="false" outlineLevel="0" collapsed="false">
      <c r="A79" s="2" t="n">
        <v>78</v>
      </c>
      <c r="B79" s="2" t="s">
        <v>355</v>
      </c>
      <c r="C79" s="2" t="s">
        <v>272</v>
      </c>
      <c r="D79" s="2" t="s">
        <v>166</v>
      </c>
      <c r="E79" s="2" t="s">
        <v>356</v>
      </c>
      <c r="F79" s="2"/>
      <c r="G79" s="2" t="s">
        <v>357</v>
      </c>
      <c r="H79" s="2" t="s">
        <v>103</v>
      </c>
      <c r="I79" s="2" t="s">
        <v>358</v>
      </c>
      <c r="J79" s="3" t="s">
        <v>22</v>
      </c>
      <c r="K79" s="3"/>
      <c r="L79" s="3"/>
      <c r="M79" s="3"/>
      <c r="N79" s="3"/>
    </row>
    <row r="80" customFormat="false" ht="15" hidden="false" customHeight="false" outlineLevel="0" collapsed="false">
      <c r="A80" s="2" t="n">
        <v>79</v>
      </c>
      <c r="B80" s="2" t="s">
        <v>359</v>
      </c>
      <c r="C80" s="2" t="s">
        <v>272</v>
      </c>
      <c r="D80" s="2" t="s">
        <v>347</v>
      </c>
      <c r="E80" s="2" t="s">
        <v>93</v>
      </c>
      <c r="F80" s="2" t="s">
        <v>94</v>
      </c>
      <c r="G80" s="2"/>
      <c r="H80" s="2" t="s">
        <v>50</v>
      </c>
      <c r="I80" s="2" t="s">
        <v>284</v>
      </c>
      <c r="J80" s="3" t="s">
        <v>22</v>
      </c>
      <c r="K80" s="3"/>
      <c r="L80" s="3"/>
      <c r="M80" s="3"/>
      <c r="N80" s="3"/>
    </row>
    <row r="81" customFormat="false" ht="15" hidden="false" customHeight="false" outlineLevel="0" collapsed="false">
      <c r="A81" s="2" t="n">
        <v>80</v>
      </c>
      <c r="B81" s="2" t="s">
        <v>360</v>
      </c>
      <c r="C81" s="2" t="s">
        <v>361</v>
      </c>
      <c r="D81" s="2" t="s">
        <v>28</v>
      </c>
      <c r="E81" s="2" t="s">
        <v>362</v>
      </c>
      <c r="F81" s="2" t="s">
        <v>363</v>
      </c>
      <c r="G81" s="2" t="s">
        <v>364</v>
      </c>
      <c r="H81" s="2" t="s">
        <v>50</v>
      </c>
      <c r="I81" s="2" t="s">
        <v>365</v>
      </c>
      <c r="J81" s="3" t="s">
        <v>22</v>
      </c>
      <c r="K81" s="3"/>
      <c r="L81" s="3"/>
      <c r="M81" s="3"/>
      <c r="N81" s="3"/>
    </row>
    <row r="82" customFormat="false" ht="15" hidden="false" customHeight="false" outlineLevel="0" collapsed="false">
      <c r="A82" s="2" t="n">
        <v>81</v>
      </c>
      <c r="B82" s="2" t="s">
        <v>366</v>
      </c>
      <c r="C82" s="2" t="s">
        <v>361</v>
      </c>
      <c r="D82" s="2" t="s">
        <v>28</v>
      </c>
      <c r="E82" s="2" t="s">
        <v>367</v>
      </c>
      <c r="F82" s="2" t="s">
        <v>368</v>
      </c>
      <c r="G82" s="2"/>
      <c r="H82" s="2" t="s">
        <v>50</v>
      </c>
      <c r="I82" s="2"/>
      <c r="J82" s="3" t="s">
        <v>22</v>
      </c>
      <c r="K82" s="3"/>
      <c r="L82" s="3"/>
      <c r="M82" s="3"/>
      <c r="N82" s="3"/>
    </row>
    <row r="83" customFormat="false" ht="15" hidden="false" customHeight="false" outlineLevel="0" collapsed="false">
      <c r="A83" s="2" t="n">
        <v>82</v>
      </c>
      <c r="B83" s="2" t="s">
        <v>369</v>
      </c>
      <c r="C83" s="2" t="s">
        <v>361</v>
      </c>
      <c r="D83" s="2" t="s">
        <v>28</v>
      </c>
      <c r="E83" s="2" t="s">
        <v>370</v>
      </c>
      <c r="F83" s="2" t="s">
        <v>371</v>
      </c>
      <c r="G83" s="2" t="s">
        <v>372</v>
      </c>
      <c r="H83" s="2" t="s">
        <v>20</v>
      </c>
      <c r="I83" s="2" t="s">
        <v>373</v>
      </c>
      <c r="J83" s="3" t="s">
        <v>22</v>
      </c>
      <c r="K83" s="3"/>
      <c r="L83" s="3"/>
      <c r="M83" s="3"/>
      <c r="N83" s="3"/>
    </row>
    <row r="84" customFormat="false" ht="15" hidden="false" customHeight="false" outlineLevel="0" collapsed="false">
      <c r="A84" s="2" t="n">
        <v>83</v>
      </c>
      <c r="B84" s="2" t="s">
        <v>374</v>
      </c>
      <c r="C84" s="2" t="s">
        <v>375</v>
      </c>
      <c r="D84" s="2" t="s">
        <v>28</v>
      </c>
      <c r="E84" s="2" t="s">
        <v>376</v>
      </c>
      <c r="F84" s="2" t="s">
        <v>377</v>
      </c>
      <c r="G84" s="2" t="s">
        <v>378</v>
      </c>
      <c r="H84" s="2" t="s">
        <v>50</v>
      </c>
      <c r="I84" s="2" t="s">
        <v>379</v>
      </c>
      <c r="J84" s="3" t="s">
        <v>22</v>
      </c>
      <c r="K84" s="3"/>
      <c r="L84" s="3"/>
      <c r="M84" s="3"/>
      <c r="N84" s="3"/>
    </row>
    <row r="85" customFormat="false" ht="15" hidden="false" customHeight="false" outlineLevel="0" collapsed="false">
      <c r="A85" s="2" t="n">
        <v>84</v>
      </c>
      <c r="B85" s="2" t="s">
        <v>380</v>
      </c>
      <c r="C85" s="2" t="s">
        <v>375</v>
      </c>
      <c r="D85" s="2" t="s">
        <v>28</v>
      </c>
      <c r="E85" s="2" t="s">
        <v>381</v>
      </c>
      <c r="F85" s="2" t="s">
        <v>382</v>
      </c>
      <c r="G85" s="2"/>
      <c r="H85" s="2" t="s">
        <v>50</v>
      </c>
      <c r="I85" s="2" t="s">
        <v>383</v>
      </c>
      <c r="J85" s="3" t="s">
        <v>22</v>
      </c>
      <c r="K85" s="3"/>
      <c r="L85" s="3"/>
      <c r="M85" s="3"/>
      <c r="N85" s="3"/>
    </row>
    <row r="86" customFormat="false" ht="15" hidden="false" customHeight="false" outlineLevel="0" collapsed="false">
      <c r="A86" s="2" t="n">
        <v>85</v>
      </c>
      <c r="B86" s="2" t="s">
        <v>384</v>
      </c>
      <c r="C86" s="2" t="s">
        <v>375</v>
      </c>
      <c r="D86" s="2" t="s">
        <v>28</v>
      </c>
      <c r="E86" s="2" t="s">
        <v>385</v>
      </c>
      <c r="F86" s="2" t="s">
        <v>386</v>
      </c>
      <c r="G86" s="2" t="s">
        <v>387</v>
      </c>
      <c r="H86" s="2" t="s">
        <v>50</v>
      </c>
      <c r="I86" s="2"/>
      <c r="J86" s="3" t="s">
        <v>22</v>
      </c>
      <c r="K86" s="3"/>
      <c r="L86" s="3"/>
      <c r="M86" s="3"/>
      <c r="N86" s="3"/>
    </row>
    <row r="87" customFormat="false" ht="15" hidden="false" customHeight="false" outlineLevel="0" collapsed="false">
      <c r="A87" s="2" t="n">
        <v>86</v>
      </c>
      <c r="B87" s="2" t="s">
        <v>388</v>
      </c>
      <c r="C87" s="2" t="s">
        <v>375</v>
      </c>
      <c r="D87" s="2" t="s">
        <v>28</v>
      </c>
      <c r="E87" s="2" t="s">
        <v>389</v>
      </c>
      <c r="F87" s="2" t="s">
        <v>390</v>
      </c>
      <c r="G87" s="2" t="s">
        <v>391</v>
      </c>
      <c r="H87" s="2" t="s">
        <v>50</v>
      </c>
      <c r="I87" s="2"/>
      <c r="J87" s="3" t="s">
        <v>22</v>
      </c>
      <c r="K87" s="3"/>
      <c r="L87" s="3"/>
      <c r="M87" s="3"/>
      <c r="N87" s="3"/>
    </row>
    <row r="88" customFormat="false" ht="15" hidden="false" customHeight="false" outlineLevel="0" collapsed="false">
      <c r="A88" s="2" t="n">
        <v>87</v>
      </c>
      <c r="B88" s="2" t="s">
        <v>392</v>
      </c>
      <c r="C88" s="2" t="s">
        <v>375</v>
      </c>
      <c r="D88" s="2" t="s">
        <v>28</v>
      </c>
      <c r="E88" s="2" t="s">
        <v>393</v>
      </c>
      <c r="F88" s="2" t="s">
        <v>394</v>
      </c>
      <c r="G88" s="2" t="s">
        <v>395</v>
      </c>
      <c r="H88" s="2" t="s">
        <v>50</v>
      </c>
      <c r="I88" s="2"/>
      <c r="J88" s="3" t="s">
        <v>22</v>
      </c>
      <c r="K88" s="3"/>
      <c r="L88" s="3"/>
      <c r="M88" s="3"/>
      <c r="N88" s="3"/>
    </row>
    <row r="89" customFormat="false" ht="15" hidden="false" customHeight="false" outlineLevel="0" collapsed="false">
      <c r="A89" s="2" t="n">
        <v>88</v>
      </c>
      <c r="B89" s="2" t="s">
        <v>396</v>
      </c>
      <c r="C89" s="2" t="s">
        <v>375</v>
      </c>
      <c r="D89" s="2" t="s">
        <v>28</v>
      </c>
      <c r="E89" s="2" t="s">
        <v>397</v>
      </c>
      <c r="F89" s="2" t="s">
        <v>398</v>
      </c>
      <c r="G89" s="2"/>
      <c r="H89" s="2" t="s">
        <v>50</v>
      </c>
      <c r="I89" s="2"/>
      <c r="J89" s="3" t="s">
        <v>22</v>
      </c>
      <c r="K89" s="3"/>
      <c r="L89" s="3"/>
      <c r="M89" s="3"/>
      <c r="N89" s="3"/>
    </row>
    <row r="90" customFormat="false" ht="15" hidden="false" customHeight="false" outlineLevel="0" collapsed="false">
      <c r="A90" s="2" t="n">
        <v>89</v>
      </c>
      <c r="B90" s="2" t="s">
        <v>399</v>
      </c>
      <c r="C90" s="2" t="s">
        <v>375</v>
      </c>
      <c r="D90" s="2" t="s">
        <v>28</v>
      </c>
      <c r="E90" s="2" t="s">
        <v>400</v>
      </c>
      <c r="F90" s="2" t="s">
        <v>401</v>
      </c>
      <c r="G90" s="2"/>
      <c r="H90" s="2" t="s">
        <v>50</v>
      </c>
      <c r="I90" s="2"/>
      <c r="J90" s="3" t="s">
        <v>22</v>
      </c>
      <c r="K90" s="3"/>
      <c r="L90" s="3"/>
      <c r="M90" s="3"/>
      <c r="N90" s="3"/>
    </row>
    <row r="91" customFormat="false" ht="15" hidden="false" customHeight="false" outlineLevel="0" collapsed="false">
      <c r="A91" s="2" t="n">
        <v>90</v>
      </c>
      <c r="B91" s="2" t="s">
        <v>402</v>
      </c>
      <c r="C91" s="2" t="s">
        <v>375</v>
      </c>
      <c r="D91" s="2" t="s">
        <v>28</v>
      </c>
      <c r="E91" s="2" t="s">
        <v>403</v>
      </c>
      <c r="F91" s="2" t="s">
        <v>404</v>
      </c>
      <c r="G91" s="2"/>
      <c r="H91" s="2" t="s">
        <v>50</v>
      </c>
      <c r="I91" s="2"/>
      <c r="J91" s="3" t="s">
        <v>22</v>
      </c>
      <c r="K91" s="3"/>
      <c r="L91" s="3"/>
      <c r="M91" s="3"/>
      <c r="N91" s="3"/>
    </row>
    <row r="92" customFormat="false" ht="15" hidden="false" customHeight="false" outlineLevel="0" collapsed="false">
      <c r="A92" s="2" t="n">
        <v>91</v>
      </c>
      <c r="B92" s="2" t="s">
        <v>405</v>
      </c>
      <c r="C92" s="2" t="s">
        <v>375</v>
      </c>
      <c r="D92" s="2" t="s">
        <v>28</v>
      </c>
      <c r="E92" s="2" t="s">
        <v>406</v>
      </c>
      <c r="F92" s="2" t="s">
        <v>407</v>
      </c>
      <c r="G92" s="2" t="s">
        <v>408</v>
      </c>
      <c r="H92" s="2" t="s">
        <v>50</v>
      </c>
      <c r="I92" s="2" t="s">
        <v>409</v>
      </c>
      <c r="J92" s="3" t="s">
        <v>22</v>
      </c>
      <c r="K92" s="3"/>
      <c r="L92" s="3"/>
      <c r="M92" s="3"/>
      <c r="N92" s="3"/>
    </row>
    <row r="93" customFormat="false" ht="15" hidden="false" customHeight="false" outlineLevel="0" collapsed="false">
      <c r="A93" s="2" t="n">
        <v>92</v>
      </c>
      <c r="B93" s="2" t="s">
        <v>410</v>
      </c>
      <c r="C93" s="2" t="s">
        <v>375</v>
      </c>
      <c r="D93" s="2" t="s">
        <v>28</v>
      </c>
      <c r="E93" s="2" t="s">
        <v>411</v>
      </c>
      <c r="F93" s="2" t="s">
        <v>412</v>
      </c>
      <c r="G93" s="2"/>
      <c r="H93" s="2" t="s">
        <v>103</v>
      </c>
      <c r="I93" s="2"/>
      <c r="J93" s="3" t="s">
        <v>22</v>
      </c>
      <c r="K93" s="3"/>
      <c r="L93" s="3"/>
      <c r="M93" s="3"/>
      <c r="N93" s="3"/>
    </row>
    <row r="94" customFormat="false" ht="15" hidden="false" customHeight="false" outlineLevel="0" collapsed="false">
      <c r="A94" s="2" t="n">
        <v>93</v>
      </c>
      <c r="B94" s="2" t="s">
        <v>413</v>
      </c>
      <c r="C94" s="2" t="s">
        <v>375</v>
      </c>
      <c r="D94" s="2" t="s">
        <v>28</v>
      </c>
      <c r="E94" s="2" t="s">
        <v>414</v>
      </c>
      <c r="F94" s="2" t="s">
        <v>415</v>
      </c>
      <c r="G94" s="2"/>
      <c r="H94" s="2" t="s">
        <v>103</v>
      </c>
      <c r="I94" s="2" t="s">
        <v>336</v>
      </c>
      <c r="J94" s="3" t="s">
        <v>22</v>
      </c>
      <c r="K94" s="3"/>
      <c r="L94" s="3"/>
      <c r="M94" s="3"/>
      <c r="N94" s="3"/>
    </row>
    <row r="95" customFormat="false" ht="15" hidden="false" customHeight="false" outlineLevel="0" collapsed="false">
      <c r="A95" s="2" t="n">
        <v>94</v>
      </c>
      <c r="B95" s="2" t="s">
        <v>416</v>
      </c>
      <c r="C95" s="2" t="s">
        <v>375</v>
      </c>
      <c r="D95" s="2" t="s">
        <v>28</v>
      </c>
      <c r="E95" s="2" t="s">
        <v>417</v>
      </c>
      <c r="F95" s="2" t="s">
        <v>418</v>
      </c>
      <c r="G95" s="2"/>
      <c r="H95" s="2" t="s">
        <v>103</v>
      </c>
      <c r="I95" s="2" t="s">
        <v>419</v>
      </c>
      <c r="J95" s="3" t="s">
        <v>22</v>
      </c>
      <c r="K95" s="3"/>
      <c r="L95" s="3"/>
      <c r="M95" s="3"/>
      <c r="N95" s="3"/>
    </row>
    <row r="96" customFormat="false" ht="15" hidden="false" customHeight="false" outlineLevel="0" collapsed="false">
      <c r="A96" s="2" t="n">
        <v>95</v>
      </c>
      <c r="B96" s="2" t="s">
        <v>420</v>
      </c>
      <c r="C96" s="2" t="s">
        <v>375</v>
      </c>
      <c r="D96" s="2" t="s">
        <v>28</v>
      </c>
      <c r="E96" s="2" t="s">
        <v>421</v>
      </c>
      <c r="F96" s="2" t="s">
        <v>422</v>
      </c>
      <c r="G96" s="2"/>
      <c r="H96" s="2" t="s">
        <v>103</v>
      </c>
      <c r="I96" s="2"/>
      <c r="J96" s="3" t="s">
        <v>22</v>
      </c>
      <c r="K96" s="3"/>
      <c r="L96" s="3"/>
      <c r="M96" s="3"/>
      <c r="N96" s="3"/>
    </row>
    <row r="97" customFormat="false" ht="15" hidden="false" customHeight="false" outlineLevel="0" collapsed="false">
      <c r="A97" s="2" t="n">
        <v>96</v>
      </c>
      <c r="B97" s="2" t="s">
        <v>423</v>
      </c>
      <c r="C97" s="2" t="s">
        <v>375</v>
      </c>
      <c r="D97" s="2" t="s">
        <v>250</v>
      </c>
      <c r="E97" s="2" t="s">
        <v>424</v>
      </c>
      <c r="F97" s="2" t="s">
        <v>425</v>
      </c>
      <c r="G97" s="2"/>
      <c r="H97" s="2" t="s">
        <v>103</v>
      </c>
      <c r="I97" s="2" t="s">
        <v>426</v>
      </c>
      <c r="J97" s="3" t="s">
        <v>22</v>
      </c>
      <c r="K97" s="3"/>
      <c r="L97" s="3"/>
      <c r="M97" s="3"/>
      <c r="N97" s="3"/>
    </row>
  </sheetData>
  <autoFilter ref="A1:N97"/>
  <dataValidations count="2">
    <dataValidation allowBlank="true" errorStyle="stop" operator="between" showDropDown="false" showErrorMessage="false" showInputMessage="false" sqref="J2:J97" type="list">
      <formula1>"Sin contactar,Contactado,Interesada,Convenio firmado,Rechazada"</formula1>
      <formula2>0</formula2>
    </dataValidation>
    <dataValidation allowBlank="true" errorStyle="stop" operator="between" showDropDown="false" showErrorMessage="false" showInputMessage="false" sqref="H2:H97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4" t="s">
        <v>427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6" t="s">
        <v>2</v>
      </c>
      <c r="B3" s="6" t="s">
        <v>428</v>
      </c>
      <c r="C3" s="6" t="s">
        <v>429</v>
      </c>
    </row>
    <row r="4" customFormat="false" ht="15" hidden="false" customHeight="false" outlineLevel="0" collapsed="false">
      <c r="A4" s="5" t="s">
        <v>159</v>
      </c>
      <c r="B4" s="5" t="n">
        <f aca="false">COUNTIF(Empresas!$C$2:$C$97,A4)</f>
        <v>22</v>
      </c>
      <c r="C4" s="5" t="n">
        <f aca="false">COUNTIFS(Empresas!$C$2:$C$97,A4,Empresas!$J$2:$J$97,"Convenio firmado")</f>
        <v>0</v>
      </c>
    </row>
    <row r="5" customFormat="false" ht="15" hidden="false" customHeight="false" outlineLevel="0" collapsed="false">
      <c r="A5" s="5" t="s">
        <v>272</v>
      </c>
      <c r="B5" s="5" t="n">
        <f aca="false">COUNTIF(Empresas!$C$2:$C$97,A5)</f>
        <v>22</v>
      </c>
      <c r="C5" s="5" t="n">
        <f aca="false">COUNTIFS(Empresas!$C$2:$C$97,A5,Empresas!$J$2:$J$97,"Convenio firmado")</f>
        <v>0</v>
      </c>
    </row>
    <row r="6" customFormat="false" ht="15" hidden="false" customHeight="false" outlineLevel="0" collapsed="false">
      <c r="A6" s="5" t="s">
        <v>361</v>
      </c>
      <c r="B6" s="5" t="n">
        <f aca="false">COUNTIF(Empresas!$C$2:$C$97,A6)</f>
        <v>3</v>
      </c>
      <c r="C6" s="5" t="n">
        <f aca="false">COUNTIFS(Empresas!$C$2:$C$97,A6,Empresas!$J$2:$J$97,"Convenio firmado")</f>
        <v>0</v>
      </c>
    </row>
    <row r="7" customFormat="false" ht="15" hidden="false" customHeight="false" outlineLevel="0" collapsed="false">
      <c r="A7" s="5" t="s">
        <v>257</v>
      </c>
      <c r="B7" s="5" t="n">
        <f aca="false">COUNTIF(Empresas!$C$2:$C$97,A7)</f>
        <v>3</v>
      </c>
      <c r="C7" s="5" t="n">
        <f aca="false">COUNTIFS(Empresas!$C$2:$C$97,A7,Empresas!$J$2:$J$97,"Convenio firmado")</f>
        <v>0</v>
      </c>
    </row>
    <row r="8" customFormat="false" ht="15" hidden="false" customHeight="false" outlineLevel="0" collapsed="false">
      <c r="A8" s="5" t="s">
        <v>116</v>
      </c>
      <c r="B8" s="5" t="n">
        <f aca="false">COUNTIF(Empresas!$C$2:$C$97,A8)</f>
        <v>3</v>
      </c>
      <c r="C8" s="5" t="n">
        <f aca="false">COUNTIFS(Empresas!$C$2:$C$97,A8,Empresas!$J$2:$J$97,"Convenio firmado")</f>
        <v>0</v>
      </c>
    </row>
    <row r="9" customFormat="false" ht="15" hidden="false" customHeight="false" outlineLevel="0" collapsed="false">
      <c r="A9" s="5" t="s">
        <v>110</v>
      </c>
      <c r="B9" s="5" t="n">
        <f aca="false">COUNTIF(Empresas!$C$2:$C$97,A9)</f>
        <v>8</v>
      </c>
      <c r="C9" s="5" t="n">
        <f aca="false">COUNTIFS(Empresas!$C$2:$C$97,A9,Empresas!$J$2:$J$97,"Convenio firmado")</f>
        <v>0</v>
      </c>
    </row>
    <row r="10" customFormat="false" ht="15" hidden="false" customHeight="false" outlineLevel="0" collapsed="false">
      <c r="A10" s="5" t="s">
        <v>15</v>
      </c>
      <c r="B10" s="5" t="n">
        <f aca="false">COUNTIF(Empresas!$C$2:$C$97,A10)</f>
        <v>21</v>
      </c>
      <c r="C10" s="5" t="n">
        <f aca="false">COUNTIFS(Empresas!$C$2:$C$97,A10,Empresas!$J$2:$J$97,"Convenio firmado")</f>
        <v>0</v>
      </c>
    </row>
    <row r="11" customFormat="false" ht="15" hidden="false" customHeight="false" outlineLevel="0" collapsed="false">
      <c r="A11" s="5" t="s">
        <v>375</v>
      </c>
      <c r="B11" s="5" t="n">
        <f aca="false">COUNTIF(Empresas!$C$2:$C$97,A11)</f>
        <v>14</v>
      </c>
      <c r="C11" s="5" t="n">
        <f aca="false">COUNTIFS(Empresas!$C$2:$C$97,A11,Empresas!$J$2:$J$97,"Convenio firmado")</f>
        <v>0</v>
      </c>
    </row>
    <row r="12" customFormat="false" ht="15" hidden="false" customHeight="false" outlineLevel="0" collapsed="false">
      <c r="A12" s="6" t="s">
        <v>430</v>
      </c>
      <c r="B12" s="5" t="n">
        <f aca="false">SUM(B4:B11)</f>
        <v>96</v>
      </c>
      <c r="C12" s="5" t="n">
        <f aca="false">SUM(C4:C11)</f>
        <v>0</v>
      </c>
    </row>
    <row r="13" customFormat="false" ht="15" hidden="false" customHeight="false" outlineLevel="0" collapsed="false">
      <c r="A13" s="5"/>
      <c r="B13" s="5"/>
      <c r="C13" s="5"/>
    </row>
    <row r="14" customFormat="false" ht="15" hidden="false" customHeight="false" outlineLevel="0" collapsed="false">
      <c r="A14" s="5" t="s">
        <v>431</v>
      </c>
      <c r="B14" s="5" t="s">
        <v>432</v>
      </c>
      <c r="C14" s="5"/>
    </row>
    <row r="15" customFormat="false" ht="15" hidden="false" customHeight="false" outlineLevel="0" collapsed="false">
      <c r="A15" s="5" t="s">
        <v>22</v>
      </c>
      <c r="B15" s="5" t="n">
        <f aca="false">COUNTIF(Empresas!$J$2:$J$97,A15)</f>
        <v>96</v>
      </c>
      <c r="C15" s="5"/>
    </row>
    <row r="16" customFormat="false" ht="15" hidden="false" customHeight="false" outlineLevel="0" collapsed="false">
      <c r="A16" s="5" t="s">
        <v>433</v>
      </c>
      <c r="B16" s="5" t="n">
        <f aca="false">COUNTIF(Empresas!$J$2:$J$97,A16)</f>
        <v>0</v>
      </c>
      <c r="C16" s="5"/>
    </row>
    <row r="17" customFormat="false" ht="15" hidden="false" customHeight="false" outlineLevel="0" collapsed="false">
      <c r="A17" s="5" t="s">
        <v>434</v>
      </c>
      <c r="B17" s="5" t="n">
        <f aca="false">COUNTIF(Empresas!$J$2:$J$97,A17)</f>
        <v>0</v>
      </c>
      <c r="C17" s="5"/>
    </row>
    <row r="18" customFormat="false" ht="15" hidden="false" customHeight="false" outlineLevel="0" collapsed="false">
      <c r="A18" s="5" t="s">
        <v>429</v>
      </c>
      <c r="B18" s="5" t="n">
        <f aca="false">COUNTIF(Empresas!$J$2:$J$97,A18)</f>
        <v>0</v>
      </c>
      <c r="C18" s="5"/>
    </row>
    <row r="19" customFormat="false" ht="15" hidden="false" customHeight="false" outlineLevel="0" collapsed="false">
      <c r="A19" s="5" t="s">
        <v>435</v>
      </c>
      <c r="B19" s="5" t="n">
        <f aca="false">COUNTIF(Empresas!$J$2:$J$97,A19)</f>
        <v>0</v>
      </c>
      <c r="C19" s="5"/>
    </row>
    <row r="20" customFormat="false" ht="15" hidden="false" customHeight="false" outlineLevel="0" collapsed="false">
      <c r="A20" s="5"/>
      <c r="B20" s="5"/>
      <c r="C20" s="5"/>
    </row>
    <row r="21" customFormat="false" ht="15" hidden="false" customHeight="false" outlineLevel="0" collapsed="false">
      <c r="A21" s="5" t="s">
        <v>436</v>
      </c>
      <c r="B21" s="5"/>
      <c r="C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2026-09-07T14:20:27Z</dcterms:created>
  <dc:creator>openpyxl</dc:creator>
  <dc:description/>
  <dc:language>en-US</dc:language>
  <cp:lastModifiedBy/>
  <dcterms:modified xsi:type="dcterms:W3CDTF">2026-09-07T14:20:27Z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